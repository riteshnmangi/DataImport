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3"/>
  </bookViews>
  <sheets>
    <sheet name="AllSheet" sheetId="31" r:id="rId1"/>
    <sheet name="08_EntityComplianceSettings" sheetId="33" r:id="rId2"/>
    <sheet name="09_WorkmanDefaultSettings" sheetId="37" r:id="rId3"/>
    <sheet name="01_Workman" sheetId="2" r:id="rId4"/>
    <sheet name="03_EmailAddressInfo" sheetId="13" r:id="rId5"/>
    <sheet name="04_PhoneNumberInfo" sheetId="14" r:id="rId6"/>
    <sheet name="06_AddressInfo" sheetId="38" r:id="rId7"/>
    <sheet name="07_AcademicHistory" sheetId="4" r:id="rId8"/>
    <sheet name="14_BankAccountDetails" sheetId="8" r:id="rId9"/>
    <sheet name="22_WorkmanDepartment" sheetId="10" r:id="rId10"/>
    <sheet name="23_WorkmanDivision" sheetId="34" r:id="rId11"/>
    <sheet name="26_UserRolePrivileges" sheetId="6" r:id="rId12"/>
    <sheet name="16_WorkmanSuperVision" sheetId="35" r:id="rId13"/>
    <sheet name="99_LetterPadMaster" sheetId="9" r:id="rId14"/>
    <sheet name="06_DepartmentHOD" sheetId="29" r:id="rId15"/>
    <sheet name="08_DivisionHOD" sheetId="30" r:id="rId16"/>
  </sheets>
  <definedNames>
    <definedName name="_xlnm._FilterDatabase" localSheetId="3" hidden="1">'01_Workman'!$B$1:$B$1</definedName>
    <definedName name="_xlnm._FilterDatabase" localSheetId="15" hidden="1">'08_DivisionHOD'!$A$1:$D$29</definedName>
    <definedName name="_xlnm._FilterDatabase" localSheetId="9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<sst xmlns="http://schemas.openxmlformats.org/spreadsheetml/2006/main" count="606" uniqueCount="251">
  <si>
    <t>UniqueUserId</t>
  </si>
  <si>
    <t>TCDPayrollYear</t>
  </si>
  <si>
    <t>TCDPayrollMonth</t>
  </si>
  <si>
    <t>AccountNumber</t>
  </si>
  <si>
    <t>BranchName</t>
  </si>
  <si>
    <t>BankName</t>
  </si>
  <si>
    <t>CountryName</t>
  </si>
  <si>
    <t>Zipcode</t>
  </si>
  <si>
    <t>AddressType</t>
  </si>
  <si>
    <t>AddressLine3</t>
  </si>
  <si>
    <t>AddressLine2</t>
  </si>
  <si>
    <t>AddressLine1</t>
  </si>
  <si>
    <t>RelievingDate</t>
  </si>
  <si>
    <t>IsFormalAppriasalRequired</t>
  </si>
  <si>
    <t>IsAlreadyConfirmed</t>
  </si>
  <si>
    <t>IsConfirmationRequired</t>
  </si>
  <si>
    <t>IsAttendanceRequired</t>
  </si>
  <si>
    <t>CurrentDesignation</t>
  </si>
  <si>
    <t>HasAlreadySignedNDA</t>
  </si>
  <si>
    <t>AppointmentDate</t>
  </si>
  <si>
    <t>JoiningDate</t>
  </si>
  <si>
    <t>Mobile</t>
  </si>
  <si>
    <t>LastName</t>
  </si>
  <si>
    <t>MiddleName</t>
  </si>
  <si>
    <t>FirstName</t>
  </si>
  <si>
    <t>EndDate</t>
  </si>
  <si>
    <t>StartDate</t>
  </si>
  <si>
    <t>PercentageOrCGPA</t>
  </si>
  <si>
    <t>DateOfPassing</t>
  </si>
  <si>
    <t>InstituteName</t>
  </si>
  <si>
    <t>UniversityOrAffiliationName</t>
  </si>
  <si>
    <t>IsActive</t>
  </si>
  <si>
    <t>UPIId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</si>
  <si>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</si>
  <si>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</si>
  <si>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</si>
  <si>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</si>
  <si>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</si>
  <si>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</si>
  <si>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</si>
  <si>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</si>
  <si>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</si>
  <si>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DepartmentName</t>
  </si>
  <si>
    <t>DepartmentJoiningDate</t>
  </si>
  <si>
    <t>IsCompleted</t>
  </si>
  <si>
    <t>EducationLevel</t>
  </si>
  <si>
    <t>AccountType</t>
  </si>
  <si>
    <t>EmailType</t>
  </si>
  <si>
    <t>IsDefault</t>
  </si>
  <si>
    <t>ISDCode</t>
  </si>
  <si>
    <t>PhoneNumber</t>
  </si>
  <si>
    <t>PhoneType</t>
  </si>
  <si>
    <t>CityName</t>
  </si>
  <si>
    <t>StateName</t>
  </si>
  <si>
    <t>EmailId</t>
  </si>
  <si>
    <t>StreamName</t>
  </si>
  <si>
    <t>EduModelName</t>
  </si>
  <si>
    <t>RecurssionName</t>
  </si>
  <si>
    <t>GradeName</t>
  </si>
  <si>
    <t>PassingMesurement</t>
  </si>
  <si>
    <t>EducationName</t>
  </si>
  <si>
    <t>ProbationWorkingDays</t>
  </si>
  <si>
    <t>IssuedType</t>
  </si>
  <si>
    <t>TotalTrainingCostDeposited</t>
  </si>
  <si>
    <t>CurrentTrainingCostPerMonth</t>
  </si>
  <si>
    <t>TrainingCostLimit</t>
  </si>
  <si>
    <t>CurrentDivision</t>
  </si>
  <si>
    <t>UserEmail</t>
  </si>
  <si>
    <t>Ritesh</t>
  </si>
  <si>
    <t>Navinchandra</t>
  </si>
  <si>
    <t>Mangi</t>
  </si>
  <si>
    <t>ritesh.n.mangi@soartechnologies.net</t>
  </si>
  <si>
    <t>FFM000001</t>
  </si>
  <si>
    <t>Employee</t>
  </si>
  <si>
    <t>Permanent Employee</t>
  </si>
  <si>
    <t>Chief Executive Officer</t>
  </si>
  <si>
    <t>Human Resources Manager</t>
  </si>
  <si>
    <t>Line Manager</t>
  </si>
  <si>
    <t>July</t>
  </si>
  <si>
    <t>.Net-Angular-SQL</t>
  </si>
  <si>
    <t>Management</t>
  </si>
  <si>
    <t>Cellure</t>
  </si>
  <si>
    <t>India</t>
  </si>
  <si>
    <t>+91</t>
  </si>
  <si>
    <t>C-405B, Ganesh Meridian</t>
  </si>
  <si>
    <t>Opp. Sola Bridge</t>
  </si>
  <si>
    <t>Off S. G. Highway</t>
  </si>
  <si>
    <t>Ahmedabad</t>
  </si>
  <si>
    <t>Gujarat</t>
  </si>
  <si>
    <t>Permanent</t>
  </si>
  <si>
    <t>Present</t>
  </si>
  <si>
    <t>Graduation Pass Out</t>
  </si>
  <si>
    <t>Science</t>
  </si>
  <si>
    <t>Full Time</t>
  </si>
  <si>
    <t>Semester</t>
  </si>
  <si>
    <t>First Class</t>
  </si>
  <si>
    <t>CGPA</t>
  </si>
  <si>
    <t>B.E</t>
  </si>
  <si>
    <t>MARWADI UNIVERSITY</t>
  </si>
  <si>
    <t>MARWADI EDUCATION FOUNDATION'S GROUP OF INSTITUTIONS-FACULTY OF TECHNOLOGY, RAJKOT</t>
  </si>
  <si>
    <t>Axis Bank Ltd</t>
  </si>
  <si>
    <t>Saving</t>
  </si>
  <si>
    <t>12345678901@oktest</t>
  </si>
  <si>
    <t>Interviewer</t>
  </si>
  <si>
    <t>Project Manager</t>
  </si>
  <si>
    <t>2019-2020</t>
  </si>
  <si>
    <t>EXPERINCED</t>
  </si>
  <si>
    <t>JOBOFFER</t>
  </si>
  <si>
    <t>Founders</t>
  </si>
  <si>
    <t>000005</t>
  </si>
  <si>
    <t>002</t>
  </si>
  <si>
    <t>Ritesh Mangi Offer Letter</t>
  </si>
  <si>
    <t>Full Stack Development</t>
  </si>
  <si>
    <t>Admin</t>
  </si>
  <si>
    <t>Angular</t>
  </si>
  <si>
    <t>UANNumber</t>
  </si>
  <si>
    <t>PFNumber</t>
  </si>
  <si>
    <t>PensionNumber</t>
  </si>
  <si>
    <t>ESINumber</t>
  </si>
  <si>
    <t>HODFrom</t>
  </si>
  <si>
    <t>HODTill</t>
  </si>
  <si>
    <t>Frontend Development</t>
  </si>
  <si>
    <t>Backend Development</t>
  </si>
  <si>
    <t>Mobile Development</t>
  </si>
  <si>
    <t>DivisionName</t>
  </si>
  <si>
    <t>Payroll</t>
  </si>
  <si>
    <t>Taxation</t>
  </si>
  <si>
    <t>Compliances</t>
  </si>
  <si>
    <t>Legal</t>
  </si>
  <si>
    <t>Graphic Design</t>
  </si>
  <si>
    <t>Web Design</t>
  </si>
  <si>
    <t>React</t>
  </si>
  <si>
    <t>Vue</t>
  </si>
  <si>
    <t>.Net</t>
  </si>
  <si>
    <t>Python</t>
  </si>
  <si>
    <t>Go</t>
  </si>
  <si>
    <t>Node</t>
  </si>
  <si>
    <t>Java</t>
  </si>
  <si>
    <t>PHP</t>
  </si>
  <si>
    <t>Perl</t>
  </si>
  <si>
    <t>Rubby</t>
  </si>
  <si>
    <t>C/C++</t>
  </si>
  <si>
    <t>C#</t>
  </si>
  <si>
    <t>MEAN</t>
  </si>
  <si>
    <t>MERN</t>
  </si>
  <si>
    <t>IOS</t>
  </si>
  <si>
    <t>Android</t>
  </si>
  <si>
    <t>Flutter</t>
  </si>
  <si>
    <t>Xamarian</t>
  </si>
  <si>
    <t>Id</t>
  </si>
  <si>
    <t>246A1486-3561-4EA0-8543-438CE152AFCB</t>
  </si>
  <si>
    <t>AppointmentRemark</t>
  </si>
  <si>
    <t>Congrulations!!!!</t>
  </si>
  <si>
    <t>DivisionJoiningDate</t>
  </si>
  <si>
    <t>DivisionRelievingDate</t>
  </si>
  <si>
    <t>Company Owner</t>
  </si>
  <si>
    <t>Sheet Name</t>
  </si>
  <si>
    <t>01_Employees</t>
  </si>
  <si>
    <t>03_EmailAddressInfo</t>
  </si>
  <si>
    <t>04_PhoneNumberInfo</t>
  </si>
  <si>
    <t>06_AddressInfo</t>
  </si>
  <si>
    <t>07_AcademicHistory</t>
  </si>
  <si>
    <t>14_BankAccountDetails</t>
  </si>
  <si>
    <t>22_EmployeeDepartment</t>
  </si>
  <si>
    <t>99_LetterPadMaster</t>
  </si>
  <si>
    <t>06_DepartmentHOD</t>
  </si>
  <si>
    <t>08_DivisionHOD</t>
  </si>
  <si>
    <t>TerminationReasonId</t>
  </si>
  <si>
    <t>Recruiter</t>
  </si>
  <si>
    <t>Company</t>
  </si>
  <si>
    <t>Chief Business Officer</t>
  </si>
  <si>
    <t>Human Resources Executive</t>
  </si>
  <si>
    <t>ComplianceName</t>
  </si>
  <si>
    <t>IsRequired</t>
  </si>
  <si>
    <t>IsToBeUpdatedPeriodically</t>
  </si>
  <si>
    <t>UpdatePeriodDays</t>
  </si>
  <si>
    <t>Academic History</t>
  </si>
  <si>
    <t>Bank Account</t>
  </si>
  <si>
    <t>Demographics</t>
  </si>
  <si>
    <t>Domain And Industry</t>
  </si>
  <si>
    <t>Email</t>
  </si>
  <si>
    <t>K.Y.C.</t>
  </si>
  <si>
    <t>Permanent Address</t>
  </si>
  <si>
    <t>Phone</t>
  </si>
  <si>
    <t>Present Address</t>
  </si>
  <si>
    <t>Skills</t>
  </si>
  <si>
    <t>98E31855-D0B0-448D-B7E9-CEA810807AE3</t>
  </si>
  <si>
    <t>FFM000002</t>
  </si>
  <si>
    <t>Neha</t>
  </si>
  <si>
    <t>Riteshkumar</t>
  </si>
  <si>
    <t>neha.r.mangi@soartechnologies.net</t>
  </si>
  <si>
    <t>Recruitment</t>
  </si>
  <si>
    <t>EB088DBE-AD90-4C3E-AB52-3FB5F0AB940A</t>
  </si>
  <si>
    <t>FFM000003</t>
  </si>
  <si>
    <t>Pratik</t>
  </si>
  <si>
    <t>pratik.n.mangi@soartechnologies.net</t>
  </si>
  <si>
    <t>Business Management</t>
  </si>
  <si>
    <t>3AB83DB1-1D87-4428-B14F-F7686D6CD17C</t>
  </si>
  <si>
    <t>FFM000004</t>
  </si>
  <si>
    <t>Nirali</t>
  </si>
  <si>
    <t>PratikKumar</t>
  </si>
  <si>
    <t>nirali.p.mangi@soartechnologies.net</t>
  </si>
  <si>
    <t>22FDF8CD-4F37-464D-8422-6723A570D4FA</t>
  </si>
  <si>
    <t>FFM000005</t>
  </si>
  <si>
    <t>Gautam</t>
  </si>
  <si>
    <t>gautam.r.mangi@soartechnologies.net</t>
  </si>
  <si>
    <t>12345678902@oktest</t>
  </si>
  <si>
    <t>12345678903@oktest</t>
  </si>
  <si>
    <t>12345678904@oktest</t>
  </si>
  <si>
    <t>12345678905@oktest</t>
  </si>
  <si>
    <t>LineManagerName</t>
  </si>
  <si>
    <t>HRMName</t>
  </si>
  <si>
    <t>HRBPName</t>
  </si>
  <si>
    <t>HR</t>
  </si>
  <si>
    <t>Process</t>
  </si>
  <si>
    <t>Project Management</t>
  </si>
  <si>
    <t>000001</t>
  </si>
  <si>
    <t>001</t>
  </si>
  <si>
    <t>Neha Mangi Offer Letter</t>
  </si>
  <si>
    <t>000002</t>
  </si>
  <si>
    <t>APPOINTMENT</t>
  </si>
  <si>
    <t>Neha Mangi Appointment Letter</t>
  </si>
  <si>
    <t>Account</t>
  </si>
  <si>
    <t>WorkmanCode</t>
  </si>
  <si>
    <t>WorkmanType</t>
  </si>
  <si>
    <t>WorkmanName</t>
  </si>
  <si>
    <t>&lt;p&gt;&lt;strong&gt;✋&amp;nbsp;Thinking&amp;nbsp;of&amp;nbsp;Resigning?&amp;nbsp;Take&amp;nbsp;a&amp;nbsp;Moment&amp;nbsp;to&amp;nbsp;Reflect&lt;/strong&gt;&lt;/p&gt;&lt;p&gt;Before&amp;nbsp;you&amp;nbsp;make&amp;nbsp;a&amp;nbsp;decision&amp;nbsp;that&amp;nbsp;changes&amp;nbsp;your&amp;nbsp;career&amp;nbsp;path,&amp;nbsp;take&amp;nbsp;a&amp;nbsp;deep&amp;nbsp;breath&amp;nbsp;—&amp;nbsp;and&amp;nbsp;give&amp;nbsp;this&amp;nbsp;page&amp;nbsp;a&amp;nbsp;quick&amp;nbsp;read.&amp;nbsp;Many&amp;nbsp;resignations&amp;nbsp;happen&amp;nbsp;in&amp;nbsp;moments&amp;nbsp;of&amp;nbsp;frustration&amp;nbsp;or&amp;nbsp;impulse.&amp;nbsp;Let&amp;#39;s&amp;nbsp;take&amp;nbsp;a&amp;nbsp;closer&amp;nbsp;look&amp;nbsp;at&amp;nbsp;some&amp;nbsp;common&amp;nbsp;reasons&amp;nbsp;people&amp;nbsp;leave&amp;nbsp;—&amp;nbsp;and&amp;nbsp;the&amp;nbsp;reality&amp;nbsp;behind&amp;nbsp;them.&lt;/p&gt;&lt;p&gt;&lt;/p&gt;&lt;p&gt;&lt;strong&gt;💰&amp;nbsp;Reason&amp;nbsp;#1:&amp;nbsp;&amp;quot;I&amp;nbsp;Got&amp;nbsp;a&amp;nbsp;Better&amp;nbsp;Pay&amp;nbsp;Offer&amp;quot;&amp;nbsp;Reality&amp;nbsp;Check:&lt;/strong&gt;&lt;/p&gt;&lt;p&gt;Yes,&amp;nbsp;a&amp;nbsp;higher&amp;nbsp;paycheck&amp;nbsp;feels&amp;nbsp;great&amp;nbsp;—&amp;nbsp;for&amp;nbsp;a&amp;nbsp;while.&amp;nbsp;But&amp;nbsp;studies&amp;nbsp;show&amp;nbsp;that&amp;nbsp;the&amp;nbsp;motivation&amp;nbsp;from&amp;nbsp;a&amp;nbsp;pay&amp;nbsp;hike&amp;nbsp;typically&amp;nbsp;lasts&amp;nbsp;&lt;strong&gt;only&amp;nbsp;1–2&amp;nbsp;months&lt;/strong&gt;.&amp;nbsp;After&amp;nbsp;that,&amp;nbsp;it&amp;nbsp;becomes&amp;nbsp;your&amp;nbsp;new&amp;nbsp;normal,&amp;nbsp;and&amp;nbsp;you&amp;#39;re&amp;nbsp;back&amp;nbsp;to&amp;nbsp;seeking&amp;nbsp;meaning,&amp;nbsp;respect,&amp;nbsp;and&amp;nbsp;work-life&amp;nbsp;balance&amp;nbsp;—&amp;nbsp;not&amp;nbsp;just&amp;nbsp;money.&lt;/p&gt;&lt;p&gt;&lt;strong&gt;Ask&amp;nbsp;Yourself:&lt;/strong&gt;&lt;/p&gt;&lt;ol&gt;&lt;li&gt;Will&amp;nbsp;the&amp;nbsp;new&amp;nbsp;job&amp;nbsp;give&amp;nbsp;you&amp;nbsp;better&amp;nbsp;learning,&amp;nbsp;leadership,&amp;nbsp;or&amp;nbsp;growth?&lt;/li&gt;&lt;li&gt;What&amp;#39;s&amp;nbsp;the&amp;nbsp;&lt;em&gt;real&amp;nbsp;cost&lt;/em&gt;&amp;nbsp;of&amp;nbsp;switching?&amp;nbsp;(New&amp;nbsp;systems,&amp;nbsp;trust&amp;nbsp;building,&amp;nbsp;proving&amp;nbsp;yourself&amp;nbsp;again?)&lt;/li&gt;&lt;li&gt;Are&amp;nbsp;you&amp;nbsp;leaving&amp;nbsp;a&amp;nbsp;place&amp;nbsp;that’s&amp;nbsp;invested&amp;nbsp;in&amp;nbsp;you&amp;nbsp;—&amp;nbsp;for&amp;nbsp;a&amp;nbsp;place&amp;nbsp;that&amp;nbsp;might&amp;nbsp;see&amp;nbsp;you&amp;nbsp;as&amp;nbsp;just&amp;nbsp;a&amp;nbsp;number?&lt;/li&gt;&lt;/ol&gt;&lt;p class="ql-align-center"&gt;&lt;/p&gt;&lt;p&gt;&lt;strong&gt;🧑‍🤝‍🧑&amp;nbsp;Reason&amp;nbsp;#2:&amp;nbsp;&amp;quot;I&amp;nbsp;Don’t&amp;nbsp;Like&amp;nbsp;the&amp;nbsp;Culture&amp;nbsp;Here&amp;quot;&amp;nbsp;Reality&amp;nbsp;Check:&lt;/strong&gt;&lt;/p&gt;&lt;p&gt;Culture&amp;nbsp;isn’t&amp;nbsp;&lt;em&gt;owned&lt;/em&gt;&amp;nbsp;by&amp;nbsp;the&amp;nbsp;company&amp;nbsp;—&amp;nbsp;it’s&amp;nbsp;&lt;strong&gt;shaped&amp;nbsp;by&amp;nbsp;its&amp;nbsp;people&lt;/strong&gt;.&amp;nbsp;If&amp;nbsp;something&amp;nbsp;feels&amp;nbsp;off,&amp;nbsp;you&amp;nbsp;might&amp;nbsp;have&amp;nbsp;more&amp;nbsp;power&amp;nbsp;to&amp;nbsp;improve&amp;nbsp;it&amp;nbsp;than&amp;nbsp;you&amp;nbsp;think.&lt;/p&gt;&lt;p&gt;&lt;/p&gt;&lt;p&gt;&lt;strong&gt;Company’s&amp;nbsp;Role:&lt;/strong&gt;&lt;/p&gt;&lt;p&gt;We&amp;nbsp;can&amp;nbsp;facilitate&amp;nbsp;open&amp;nbsp;dialogue,&amp;nbsp;resources,&amp;nbsp;leadership&amp;nbsp;support,&amp;nbsp;and&amp;nbsp;accountability&amp;nbsp;—&amp;nbsp;but&amp;nbsp;&lt;strong&gt;you&lt;/strong&gt;&amp;nbsp;help&amp;nbsp;define&amp;nbsp;the&amp;nbsp;day-to-day&amp;nbsp;vibe.&lt;/p&gt;&lt;p&gt;&lt;strong&gt;Ask&amp;nbsp;Yourself:&lt;/strong&gt;&lt;/p&gt;&lt;ol&gt;&lt;li&gt;Have&amp;nbsp;you&amp;nbsp;voiced&amp;nbsp;your&amp;nbsp;concerns&amp;nbsp;to&amp;nbsp;your&amp;nbsp;manager&amp;nbsp;or&amp;nbsp;HR?&lt;/li&gt;&lt;li&gt;Is&amp;nbsp;the&amp;nbsp;issue&amp;nbsp;a&amp;nbsp;person&amp;nbsp;or&amp;nbsp;a&amp;nbsp;pattern&amp;nbsp;—&amp;nbsp;and&amp;nbsp;can&amp;nbsp;it&amp;nbsp;be&amp;nbsp;fixed&amp;nbsp;with&amp;nbsp;feedback?&lt;/li&gt;&lt;li&gt;Have&amp;nbsp;you&amp;nbsp;contributed&amp;nbsp;to&amp;nbsp;making&amp;nbsp;the&amp;nbsp;culture&amp;nbsp;better?&lt;/li&gt;&lt;/ol&gt;&lt;p class="ql-align-center"&gt;&lt;/p&gt;&lt;p&gt;&lt;strong&gt;🚪&amp;nbsp;Reason&amp;nbsp;#3:&amp;nbsp;&amp;quot;I&amp;nbsp;Don’t&amp;nbsp;See&amp;nbsp;Growth&amp;nbsp;Opportunities&amp;quot;&amp;nbsp;Reality&amp;nbsp;Check:&lt;/strong&gt;&lt;/p&gt;&lt;p&gt;Growth&amp;nbsp;often&amp;nbsp;comes&amp;nbsp;disguised&amp;nbsp;—&amp;nbsp;in&amp;nbsp;difficult&amp;nbsp;projects,&amp;nbsp;feedback,&amp;nbsp;or&amp;nbsp;challenges.&amp;nbsp;Have&amp;nbsp;you&amp;nbsp;explored:&lt;/p&gt;&lt;ol&gt;&lt;li&gt;&lt;strong&gt;Lateral&amp;nbsp;growth&lt;/strong&gt;?&amp;nbsp;(New&amp;nbsp;domains,&amp;nbsp;cross-team&amp;nbsp;work,&amp;nbsp;leadership&amp;nbsp;opportunities)=&lt;/li&gt;&lt;li&gt;&lt;strong&gt;Learning&amp;nbsp;resources&lt;/strong&gt;&amp;nbsp;available&amp;nbsp;to&amp;nbsp;you?&lt;/li&gt;&lt;li&gt;&lt;strong&gt;Mentorship&lt;/strong&gt;&amp;nbsp;or&amp;nbsp;internal&amp;nbsp;mobility?&lt;/li&gt;&lt;/ol&gt;&lt;p&gt;Sometimes&amp;nbsp;growth&amp;nbsp;isn’t&amp;nbsp;about&amp;nbsp;a&amp;nbsp;new&amp;nbsp;company.&amp;nbsp;It’s&amp;nbsp;about&amp;nbsp;a&amp;nbsp;&lt;strong&gt;new&amp;nbsp;mindset&lt;/strong&gt;&amp;nbsp;where&amp;nbsp;you&amp;nbsp;are.&lt;/p&gt;&lt;p class="ql-align-center"&gt;&lt;/p&gt;&lt;p&gt;&lt;strong&gt;😓&amp;nbsp;Reason&amp;nbsp;#4:&amp;nbsp;&amp;quot;I’m&amp;nbsp;Burned&amp;nbsp;Out&amp;quot;&amp;nbsp;Reality&amp;nbsp;Check:&lt;/strong&gt;&lt;/p&gt;&lt;p&gt;Burnout&amp;nbsp;is&amp;nbsp;real&amp;nbsp;—&amp;nbsp;but&amp;nbsp;changing&amp;nbsp;jobs&amp;nbsp;doesn’t&amp;nbsp;always&amp;nbsp;fix&amp;nbsp;it.&amp;nbsp;Many&amp;nbsp;Employees&amp;nbsp;experience&amp;nbsp;burnout&amp;nbsp;in&amp;nbsp;new&amp;nbsp;roles&amp;nbsp;due&amp;nbsp;to&amp;nbsp;the&amp;nbsp;stress&amp;nbsp;of&amp;nbsp;proving&amp;nbsp;themselves.&lt;/p&gt;&lt;p&gt;&lt;/p&gt;&lt;p&gt;&lt;strong&gt;Company&amp;nbsp;Support:&lt;/strong&gt;&lt;/p&gt;&lt;p&gt;We&amp;nbsp;offer&amp;nbsp;flexible&amp;nbsp;policies,&amp;nbsp;wellness&amp;nbsp;programs,&amp;nbsp;and&amp;nbsp;mental&amp;nbsp;health&amp;nbsp;support.&amp;nbsp;But&amp;nbsp;step&amp;nbsp;one&amp;nbsp;is:&amp;nbsp;&lt;strong&gt;let’s&amp;nbsp;talk&amp;nbsp;about&amp;nbsp;it&lt;/strong&gt;.&lt;/p&gt;&lt;p&gt;&lt;strong&gt;Ask&amp;nbsp;Yourself:&lt;/strong&gt;&lt;/p&gt;&lt;ol&gt;&lt;li&gt;Have&amp;nbsp;you&amp;nbsp;taken&amp;nbsp;a&amp;nbsp;break?&lt;/li&gt;&lt;li&gt;Is&amp;nbsp;it&amp;nbsp;the&amp;nbsp;workload,&amp;nbsp;or&amp;nbsp;lack&amp;nbsp;of&amp;nbsp;clarity/support?&lt;/li&gt;&lt;li&gt;Would&amp;nbsp;a&amp;nbsp;role&amp;nbsp;change&amp;nbsp;or&amp;nbsp;project&amp;nbsp;switch&amp;nbsp;help?&lt;/li&gt;&lt;/ol&gt;&lt;p class="ql-align-center"&gt;&lt;/p&gt;&lt;p&gt;&lt;strong&gt;🤝&amp;nbsp;Reason&amp;nbsp;#5:&amp;nbsp;&amp;quot;I&amp;nbsp;Don’t&amp;nbsp;Feel&amp;nbsp;Valued&amp;nbsp;or&amp;nbsp;Recognized&amp;quot;&amp;nbsp;Reality&amp;nbsp;Check:&lt;/strong&gt;&lt;/p&gt;&lt;p&gt;Recognition&amp;nbsp;matters&amp;nbsp;—&amp;nbsp;and&amp;nbsp;if&amp;nbsp;you&amp;#39;re&amp;nbsp;not&amp;nbsp;feeling&amp;nbsp;it,&amp;nbsp;that&amp;#39;s&amp;nbsp;important.&amp;nbsp;But&amp;nbsp;sometimes,&amp;nbsp;it&amp;#39;s&amp;nbsp;a&amp;nbsp;gap&amp;nbsp;in&amp;nbsp;&lt;strong&gt;visibility&lt;/strong&gt;,&amp;nbsp;not&amp;nbsp;appreciation.&lt;/p&gt;&lt;p&gt;&lt;strong&gt;Things&amp;nbsp;You&amp;nbsp;Can&amp;nbsp;Do:&lt;/strong&gt;&lt;/p&gt;&lt;ol&gt;&lt;li&gt;Speak&amp;nbsp;up&amp;nbsp;during&amp;nbsp;1:1s&amp;nbsp;about&amp;nbsp;what&amp;nbsp;motivates&amp;nbsp;you.&lt;/li&gt;&lt;li&gt;Set&amp;nbsp;clear&amp;nbsp;goals&amp;nbsp;with&amp;nbsp;your&amp;nbsp;manager&amp;nbsp;and&amp;nbsp;ask&amp;nbsp;for&amp;nbsp;feedback&amp;nbsp;loops.&lt;/li&gt;&lt;li&gt;Remember:&amp;nbsp;&lt;strong&gt;Value&amp;nbsp;grows&amp;nbsp;when&amp;nbsp;you&amp;nbsp;advocate&amp;nbsp;for&amp;nbsp;yourself.&lt;/strong&gt;&lt;/li&gt;&lt;/ol&gt;&lt;p class="ql-align-center"&gt;&lt;/p&gt;&lt;p&gt;&lt;strong&gt;✅&amp;nbsp;Before&amp;nbsp;You&amp;nbsp;Decide...&lt;/strong&gt;&lt;/p&gt;&lt;p&gt;Resigning&amp;nbsp;is&amp;nbsp;a&amp;nbsp;major&amp;nbsp;step&amp;nbsp;—&amp;nbsp;not&amp;nbsp;just&amp;nbsp;a&amp;nbsp;reaction.&amp;nbsp;Ask&amp;nbsp;yourself:&lt;/p&gt;&lt;ol&gt;&lt;li&gt;Have&amp;nbsp;I&amp;nbsp;given&amp;nbsp;feedback&amp;nbsp;to&amp;nbsp;anyone&amp;nbsp;about&amp;nbsp;my&amp;nbsp;concerns?&lt;/li&gt;&lt;li&gt;Have&amp;nbsp;I&amp;nbsp;explored&amp;nbsp;internal&amp;nbsp;options&amp;nbsp;or&amp;nbsp;team&amp;nbsp;changes?&lt;/li&gt;&lt;li&gt;Is&amp;nbsp;the&amp;nbsp;new&amp;nbsp;offer&amp;nbsp;truly&amp;nbsp;solving&amp;nbsp;my&amp;nbsp;problem&amp;nbsp;—&amp;nbsp;or&amp;nbsp;just&amp;nbsp;distracting&amp;nbsp;me&amp;nbsp;from&amp;nbsp;it?&lt;/li&gt;&lt;li&gt;Am&amp;nbsp;I&amp;nbsp;making&amp;nbsp;a&amp;nbsp;decision&amp;nbsp;in&amp;nbsp;emotion,&amp;nbsp;or&amp;nbsp;clarity?&lt;/li&gt;&lt;/ol&gt;&lt;p class="ql-align-center"&gt;&lt;/p&gt;&lt;p&gt;&lt;strong&gt;📩&amp;nbsp;Talk&amp;nbsp;to&amp;nbsp;Us&amp;nbsp;—&amp;nbsp;Before&amp;nbsp;You&amp;nbsp;Walk&lt;/strong&gt;&lt;/p&gt;&lt;p&gt;We’re&amp;nbsp;here&amp;nbsp;to&amp;nbsp;listen.&amp;nbsp;If&amp;nbsp;you’re&amp;nbsp;thinking&amp;nbsp;about&amp;nbsp;resigning,&amp;nbsp;schedule&amp;nbsp;a&amp;nbsp;confidential&amp;nbsp;chat&amp;nbsp;with&amp;nbsp;your&amp;nbsp;HR&amp;nbsp;or&amp;nbsp;manager.&amp;nbsp;You&amp;nbsp;might&amp;nbsp;be&amp;nbsp;surprised&amp;nbsp;at&amp;nbsp;what’s&amp;nbsp;possible&amp;nbsp;if&amp;nbsp;you&amp;nbsp;speak&amp;nbsp;up.&lt;/p&gt;&lt;p&gt;&lt;strong&gt;Your&amp;nbsp;career&amp;nbsp;is&amp;nbsp;important.&amp;nbsp;Let’s&amp;nbsp;make&amp;nbsp;sure&amp;nbsp;the&amp;nbsp;next&amp;nbsp;step&amp;nbsp;is&amp;nbsp;the&amp;nbsp;right&amp;nbsp;one&amp;nbsp;—&amp;nbsp;not&amp;nbsp;just&amp;nbsp;the&amp;nbsp;easiest&amp;nbsp;one.&lt;/strong&gt;&lt;/p&gt;</t>
  </si>
  <si>
    <t>ResignationPageText</t>
  </si>
  <si>
    <t>RetirementAge</t>
  </si>
  <si>
    <t>MaximumBuyOutDays</t>
  </si>
  <si>
    <t>NoticePeriodDays</t>
  </si>
  <si>
    <t>PayDayPerMonth</t>
  </si>
  <si>
    <t>GratuatyMaximumCap</t>
  </si>
  <si>
    <t>GratuatyNonTaxableCap</t>
  </si>
  <si>
    <t>PFOptoutMinimumSalary</t>
  </si>
  <si>
    <t>MinimumContractPerMonth</t>
  </si>
  <si>
    <t>MinimumStipendForTrainees</t>
  </si>
  <si>
    <t>MinimumSalaryForWorkman</t>
  </si>
  <si>
    <t>ESIEligibility</t>
  </si>
  <si>
    <t>PFEligibility</t>
  </si>
  <si>
    <t>GratuatyApplicabilityWorkmanCount</t>
  </si>
  <si>
    <t>ESIApplicabilityWorkmanCount</t>
  </si>
  <si>
    <t>PFApplicabilityWorkmanCount</t>
  </si>
  <si>
    <t>UserCodeLength</t>
  </si>
  <si>
    <t>IsCurrentAddress</t>
  </si>
  <si>
    <t>AddressEffectiveFrom</t>
  </si>
  <si>
    <t>AddressEffectiveTo</t>
  </si>
  <si>
    <t>RoleName</t>
  </si>
  <si>
    <t>26_UserWiseRoleAccess</t>
  </si>
  <si>
    <t>DistrictName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</si>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</sst>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/mmm/dd"/>
    <numFmt numFmtId="166" formatCode="yyyy\-mm\-dd;@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9">
    <xf numFmtId="0" fontId="0" fillId="0" borderId="0" xfId="0"/>
    <xf numFmtId="0" fontId="0" fillId="0" borderId="0" xfId="0" applyFill="1"/>
    <xf numFmtId="0" fontId="0" fillId="0" borderId="0" xfId="0" quotePrefix="1" applyFill="1" applyAlignment="1">
      <alignment horizontal="left" vertical="top"/>
    </xf>
    <xf numFmtId="165" fontId="0" fillId="0" borderId="0" xfId="0" applyNumberFormat="1" applyFill="1"/>
    <xf numFmtId="0" fontId="0" fillId="0" borderId="0" xfId="0" applyFill="1" applyAlignment="1">
      <alignment horizontal="left" vertical="top"/>
    </xf>
    <xf numFmtId="165" fontId="0" fillId="0" borderId="0" xfId="0" applyNumberFormat="1"/>
    <xf numFmtId="0" fontId="0" fillId="0" borderId="0" xfId="0" quotePrefix="1"/>
    <xf numFmtId="164" fontId="0" fillId="0" borderId="0" xfId="0" applyNumberFormat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applyFill="1" applyBorder="1"/>
    <xf numFmtId="0" fontId="0" fillId="0" borderId="0" xfId="0" applyFont="1"/>
    <xf numFmtId="166" fontId="0" fillId="0" borderId="0" xfId="0" applyNumberFormat="1"/>
    <xf numFmtId="0" fontId="0" fillId="0" borderId="0" xfId="0" quotePrefix="1" applyFill="1" applyBorder="1"/>
    <xf numFmtId="0" fontId="2" fillId="0" borderId="0" xfId="0" applyFont="1"/>
    <xf numFmtId="0" fontId="1" fillId="0" borderId="0" xfId="1" applyAlignment="1" applyProtection="1"/>
    <xf numFmtId="0" fontId="4" fillId="2" borderId="0" xfId="0" applyFont="1" applyFill="1"/>
    <xf numFmtId="0" fontId="5" fillId="2" borderId="0" xfId="0" applyFont="1" applyFill="1"/>
    <xf numFmtId="0" fontId="4" fillId="2" borderId="1" xfId="0" applyFont="1" applyFill="1" applyBorder="1"/>
    <xf numFmtId="165" fontId="4" fillId="2" borderId="0" xfId="0" applyNumberFormat="1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165" fontId="4" fillId="2" borderId="0" xfId="0" applyNumberFormat="1" applyFont="1" applyFill="1" applyAlignment="1">
      <alignment horizontal="left" vertical="top"/>
    </xf>
    <xf numFmtId="0" fontId="6" fillId="2" borderId="0" xfId="0" applyFont="1" applyFill="1"/>
    <xf numFmtId="0" fontId="5" fillId="0" borderId="0" xfId="0" applyFont="1" applyFill="1"/>
    <xf numFmtId="0" fontId="4" fillId="0" borderId="0" xfId="0" applyFont="1" applyFill="1"/>
    <xf numFmtId="164" fontId="0" fillId="0" borderId="0" xfId="0" quotePrefix="1" applyNumberFormat="1" applyFill="1" applyAlignment="1">
      <alignment horizontal="left" vertical="top"/>
    </xf>
    <xf numFmtId="11" fontId="0" fillId="0" borderId="0" xfId="0" applyNumberFormat="1" applyFill="1"/>
    <xf numFmtId="0" fontId="1" fillId="0" borderId="0" xfId="1" applyFill="1" applyAlignment="1" applyProtection="1"/>
    <xf numFmtId="0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utam.r.mangi@soartechnologies.ne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gautam.r.mangi@soartechnologies.ne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78903@oktest" TargetMode="External"/><Relationship Id="rId2" Type="http://schemas.openxmlformats.org/officeDocument/2006/relationships/hyperlink" Target="mailto:12345678902@oktest" TargetMode="External"/><Relationship Id="rId1" Type="http://schemas.openxmlformats.org/officeDocument/2006/relationships/hyperlink" Target="mailto:12345678901@oktest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12345678905@oktest" TargetMode="External"/><Relationship Id="rId4" Type="http://schemas.openxmlformats.org/officeDocument/2006/relationships/hyperlink" Target="mailto:12345678904@oktes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9" sqref="A9"/>
    </sheetView>
  </sheetViews>
  <sheetFormatPr defaultRowHeight="15"/>
  <cols>
    <col min="1" max="1" width="27.28515625" bestFit="1" customWidth="1"/>
  </cols>
  <sheetData>
    <row r="1" spans="1:1" s="23" customFormat="1">
      <c r="A1" s="15" t="s">
        <v>156</v>
      </c>
    </row>
    <row r="2" spans="1:1">
      <c r="A2" s="14" t="s">
        <v>157</v>
      </c>
    </row>
    <row r="3" spans="1:1">
      <c r="A3" s="14" t="s">
        <v>158</v>
      </c>
    </row>
    <row r="4" spans="1:1">
      <c r="A4" s="14" t="s">
        <v>159</v>
      </c>
    </row>
    <row r="5" spans="1:1">
      <c r="A5" s="14" t="s">
        <v>160</v>
      </c>
    </row>
    <row r="6" spans="1:1">
      <c r="A6" s="14" t="s">
        <v>161</v>
      </c>
    </row>
    <row r="7" spans="1:1">
      <c r="A7" s="14" t="s">
        <v>162</v>
      </c>
    </row>
    <row r="8" spans="1:1">
      <c r="A8" s="14" t="s">
        <v>163</v>
      </c>
    </row>
    <row r="9" spans="1:1">
      <c r="A9" s="14" t="s">
        <v>248</v>
      </c>
    </row>
    <row r="10" spans="1:1">
      <c r="A10" s="14" t="s">
        <v>164</v>
      </c>
    </row>
    <row r="11" spans="1:1">
      <c r="A11" s="14" t="s">
        <v>165</v>
      </c>
    </row>
    <row r="12" spans="1:1">
      <c r="A12" s="14" t="s">
        <v>166</v>
      </c>
    </row>
  </sheetData>
  <hyperlinks>
    <hyperlink ref="A2" location="'01_Employees'!A1" display="01_Employees"/>
    <hyperlink ref="A3" location="'03_EmailAddressInfo'!A1" display="03_EmailAddressInfo"/>
    <hyperlink ref="A4" location="'04_PhoneNumberInfo'!A1" display="04_PhoneNumberInfo"/>
    <hyperlink ref="A5" location="'06_AddressInfo'!A1" display="06_AddressInfo"/>
    <hyperlink ref="A6" location="'07_AcademicHistory'!A1" display="07_AcademicHistory"/>
    <hyperlink ref="A7" location="'14_BankAccountDetails'!A1" display="14_BankAccountDetails"/>
    <hyperlink ref="A8" location="'22_EmployeeDepartment'!A1" display="22_EmployeeDepartment"/>
    <hyperlink ref="A9" location="'26_UserWiseHierarchyAccess'!A1" display="26_UserWiseHierarchyAccess"/>
    <hyperlink ref="A10" location="'99_LetterPadMaster'!A1" display="99_LetterPadMaster"/>
    <hyperlink ref="A11" location="'06_DepartmentHOD'!A1" display="06_DepartmentHOD"/>
    <hyperlink ref="A12" location="'08_DivisionHOD'!A1" display="08_DivisionHOD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C25" sqref="C25"/>
    </sheetView>
  </sheetViews>
  <sheetFormatPr defaultRowHeight="15"/>
  <cols>
    <col min="1" max="1" width="19.85546875" bestFit="1" customWidth="1"/>
    <col min="2" max="2" width="10.5703125" bestFit="1" customWidth="1"/>
    <col min="3" max="3" width="25.28515625" bestFit="1" customWidth="1"/>
    <col min="4" max="4" width="17.7109375" bestFit="1" customWidth="1"/>
  </cols>
  <sheetData>
    <row r="1" spans="1:4">
      <c r="A1" s="15" t="s">
        <v>172</v>
      </c>
      <c r="B1" s="15" t="s">
        <v>173</v>
      </c>
      <c r="C1" s="15" t="s">
        <v>174</v>
      </c>
      <c r="D1" s="15" t="s">
        <v>175</v>
      </c>
    </row>
    <row r="2" spans="1:4">
      <c r="A2" t="s">
        <v>176</v>
      </c>
      <c r="B2" t="b">
        <v>1</v>
      </c>
      <c r="C2" t="b">
        <v>1</v>
      </c>
      <c r="D2">
        <v>90</v>
      </c>
    </row>
    <row r="3" spans="1:4">
      <c r="A3" t="s">
        <v>177</v>
      </c>
      <c r="B3" t="b">
        <v>1</v>
      </c>
      <c r="C3" t="b">
        <v>1</v>
      </c>
      <c r="D3">
        <v>90</v>
      </c>
    </row>
    <row r="4" spans="1:4">
      <c r="A4" t="s">
        <v>178</v>
      </c>
      <c r="B4" t="b">
        <v>1</v>
      </c>
      <c r="C4" t="b">
        <v>1</v>
      </c>
      <c r="D4">
        <v>90</v>
      </c>
    </row>
    <row r="5" spans="1:4">
      <c r="A5" t="s">
        <v>179</v>
      </c>
      <c r="B5" t="b">
        <v>1</v>
      </c>
      <c r="C5" t="b">
        <v>1</v>
      </c>
      <c r="D5">
        <v>90</v>
      </c>
    </row>
    <row r="6" spans="1:4">
      <c r="A6" t="s">
        <v>180</v>
      </c>
      <c r="B6" t="b">
        <v>1</v>
      </c>
      <c r="C6" t="b">
        <v>1</v>
      </c>
      <c r="D6">
        <v>90</v>
      </c>
    </row>
    <row r="7" spans="1:4">
      <c r="A7" t="s">
        <v>181</v>
      </c>
      <c r="B7" t="b">
        <v>1</v>
      </c>
      <c r="C7" t="b">
        <v>1</v>
      </c>
      <c r="D7">
        <v>90</v>
      </c>
    </row>
    <row r="8" spans="1:4">
      <c r="A8" t="s">
        <v>182</v>
      </c>
      <c r="B8" t="b">
        <v>1</v>
      </c>
      <c r="C8" t="b">
        <v>1</v>
      </c>
      <c r="D8">
        <v>90</v>
      </c>
    </row>
    <row r="9" spans="1:4">
      <c r="A9" t="s">
        <v>183</v>
      </c>
      <c r="B9" t="b">
        <v>1</v>
      </c>
      <c r="C9" t="b">
        <v>1</v>
      </c>
      <c r="D9">
        <v>90</v>
      </c>
    </row>
    <row r="10" spans="1:4">
      <c r="A10" t="s">
        <v>184</v>
      </c>
      <c r="B10" t="b">
        <v>1</v>
      </c>
      <c r="C10" t="b">
        <v>1</v>
      </c>
      <c r="D10">
        <v>90</v>
      </c>
    </row>
    <row r="11" spans="1:4">
      <c r="A11" t="s">
        <v>185</v>
      </c>
      <c r="B11" t="b">
        <v>1</v>
      </c>
      <c r="C11" t="b">
        <v>1</v>
      </c>
      <c r="D11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topLeftCell="Q1" workbookViewId="0">
      <selection activeCell="A5" sqref="A5"/>
    </sheetView>
  </sheetViews>
  <sheetFormatPr defaultRowHeight="15"/>
  <cols>
    <col min="1" max="1" width="15.7109375" bestFit="1" customWidth="1"/>
    <col min="2" max="2" width="29" bestFit="1" customWidth="1"/>
    <col min="3" max="3" width="29.42578125" bestFit="1" customWidth="1"/>
    <col min="4" max="4" width="34.7109375" bestFit="1" customWidth="1"/>
    <col min="5" max="5" width="11.42578125" bestFit="1" customWidth="1"/>
    <col min="6" max="6" width="11.85546875" bestFit="1" customWidth="1"/>
    <col min="7" max="7" width="27.140625" bestFit="1" customWidth="1"/>
    <col min="8" max="8" width="27.42578125" bestFit="1" customWidth="1"/>
    <col min="9" max="9" width="26.42578125" bestFit="1" customWidth="1"/>
    <col min="10" max="10" width="23.7109375" bestFit="1" customWidth="1"/>
    <col min="11" max="11" width="22.85546875" bestFit="1" customWidth="1"/>
    <col min="12" max="12" width="21" bestFit="1" customWidth="1"/>
    <col min="13" max="13" width="16.42578125" bestFit="1" customWidth="1"/>
    <col min="14" max="14" width="27" customWidth="1"/>
    <col min="15" max="15" width="27.85546875" customWidth="1"/>
    <col min="16" max="16" width="17.28515625" customWidth="1"/>
    <col min="17" max="17" width="255.7109375" bestFit="1" customWidth="1"/>
  </cols>
  <sheetData>
    <row r="1" spans="1:17" s="24" customFormat="1">
      <c r="A1" s="15" t="s">
        <v>243</v>
      </c>
      <c r="B1" s="15" t="s">
        <v>242</v>
      </c>
      <c r="C1" s="15" t="s">
        <v>241</v>
      </c>
      <c r="D1" s="15" t="s">
        <v>240</v>
      </c>
      <c r="E1" s="15" t="s">
        <v>239</v>
      </c>
      <c r="F1" s="15" t="s">
        <v>238</v>
      </c>
      <c r="G1" s="15" t="s">
        <v>237</v>
      </c>
      <c r="H1" s="15" t="s">
        <v>236</v>
      </c>
      <c r="I1" s="15" t="s">
        <v>235</v>
      </c>
      <c r="J1" s="15" t="s">
        <v>234</v>
      </c>
      <c r="K1" s="15" t="s">
        <v>233</v>
      </c>
      <c r="L1" s="15" t="s">
        <v>232</v>
      </c>
      <c r="M1" s="15" t="s">
        <v>231</v>
      </c>
      <c r="N1" s="15" t="s">
        <v>230</v>
      </c>
      <c r="O1" s="15" t="s">
        <v>229</v>
      </c>
      <c r="P1" s="15" t="s">
        <v>228</v>
      </c>
      <c r="Q1" s="15" t="s">
        <v>227</v>
      </c>
    </row>
    <row r="2" spans="1:17">
      <c r="A2">
        <v>9</v>
      </c>
      <c r="B2">
        <v>0</v>
      </c>
      <c r="C2">
        <v>0</v>
      </c>
      <c r="D2">
        <v>0</v>
      </c>
      <c r="E2" t="b">
        <v>0</v>
      </c>
      <c r="F2" t="b">
        <v>0</v>
      </c>
      <c r="G2">
        <v>12000</v>
      </c>
      <c r="H2">
        <v>4000</v>
      </c>
      <c r="I2">
        <v>0</v>
      </c>
      <c r="J2">
        <v>0</v>
      </c>
      <c r="K2">
        <v>0</v>
      </c>
      <c r="L2">
        <v>0</v>
      </c>
      <c r="M2">
        <v>26</v>
      </c>
      <c r="N2">
        <v>60</v>
      </c>
      <c r="O2">
        <v>20</v>
      </c>
      <c r="P2">
        <v>60</v>
      </c>
      <c r="Q2" s="28" t="s">
        <v>226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6"/>
  <sheetViews>
    <sheetView tabSelected="1" zoomScale="85" zoomScaleNormal="85" workbookViewId="0">
      <pane ySplit="1" topLeftCell="A2" activePane="bottomLeft" state="frozen"/>
      <selection activeCell="A5" sqref="A5"/>
      <selection pane="bottomLeft" activeCell="Y17" sqref="Y17"/>
    </sheetView>
  </sheetViews>
  <sheetFormatPr defaultColWidth="9.140625" defaultRowHeight="15"/>
  <cols>
    <col min="1" max="1" width="39.42578125" style="1" bestFit="1" customWidth="1"/>
    <col min="2" max="2" width="14.5703125" style="1" bestFit="1" customWidth="1"/>
    <col min="3" max="3" width="10.140625" style="1" bestFit="1" customWidth="1"/>
    <col min="4" max="4" width="13.85546875" style="1" bestFit="1" customWidth="1"/>
    <col min="5" max="5" width="9.7109375" style="1" bestFit="1" customWidth="1"/>
    <col min="6" max="6" width="36.7109375" style="1" bestFit="1" customWidth="1"/>
    <col min="7" max="7" width="11.28515625" style="1" bestFit="1" customWidth="1"/>
    <col min="8" max="8" width="14.85546875" style="1" bestFit="1" customWidth="1"/>
    <col min="9" max="9" width="11.42578125" style="3" bestFit="1" customWidth="1"/>
    <col min="10" max="10" width="17.28515625" style="1" bestFit="1" customWidth="1"/>
    <col min="11" max="11" width="19.85546875" style="1" bestFit="1" customWidth="1"/>
    <col min="12" max="12" width="21.85546875" style="1" bestFit="1" customWidth="1"/>
    <col min="13" max="13" width="20.85546875" style="1" bestFit="1" customWidth="1"/>
    <col min="14" max="14" width="21.42578125" style="1" bestFit="1" customWidth="1"/>
    <col min="15" max="15" width="26.85546875" style="1" bestFit="1" customWidth="1"/>
    <col min="16" max="16" width="21.140625" style="1" bestFit="1" customWidth="1"/>
    <col min="17" max="17" width="22.7109375" style="1" bestFit="1" customWidth="1"/>
    <col min="18" max="18" width="19" style="1" bestFit="1" customWidth="1"/>
    <col min="19" max="19" width="25.5703125" style="1" bestFit="1" customWidth="1"/>
    <col min="20" max="20" width="16.7109375" style="1" bestFit="1" customWidth="1"/>
    <col min="21" max="21" width="14.7109375" style="1" bestFit="1" customWidth="1"/>
    <col min="22" max="22" width="16.5703125" style="1" bestFit="1" customWidth="1"/>
    <col min="23" max="23" width="26.140625" style="1" bestFit="1" customWidth="1"/>
    <col min="24" max="24" width="28.28515625" style="1" bestFit="1" customWidth="1"/>
    <col min="25" max="25" width="22.7109375" style="1" bestFit="1" customWidth="1"/>
    <col min="26" max="26" width="22.7109375" style="1" customWidth="1"/>
    <col min="27" max="27" width="21.28515625" style="1" bestFit="1" customWidth="1"/>
    <col min="28" max="28" width="13.5703125" style="1" bestFit="1" customWidth="1"/>
    <col min="29" max="29" width="11.7109375" style="1" bestFit="1" customWidth="1"/>
    <col min="30" max="30" width="17.5703125" style="1" bestFit="1" customWidth="1"/>
    <col min="31" max="31" width="12.42578125" style="1" bestFit="1" customWidth="1"/>
    <col min="32" max="16384" width="9.140625" style="1"/>
  </cols>
  <sheetData>
    <row r="1" spans="1:31" s="23" customFormat="1">
      <c r="A1" s="16" t="s">
        <v>149</v>
      </c>
      <c r="B1" s="19" t="s">
        <v>223</v>
      </c>
      <c r="C1" s="19" t="s">
        <v>24</v>
      </c>
      <c r="D1" s="19" t="s">
        <v>23</v>
      </c>
      <c r="E1" s="19" t="s">
        <v>22</v>
      </c>
      <c r="F1" s="19" t="s">
        <v>67</v>
      </c>
      <c r="G1" s="19" t="s">
        <v>21</v>
      </c>
      <c r="H1" s="19" t="s">
        <v>247</v>
      </c>
      <c r="I1" s="21" t="s">
        <v>20</v>
      </c>
      <c r="J1" s="19" t="s">
        <v>19</v>
      </c>
      <c r="K1" s="19" t="s">
        <v>151</v>
      </c>
      <c r="L1" s="19" t="s">
        <v>61</v>
      </c>
      <c r="M1" s="19" t="s">
        <v>224</v>
      </c>
      <c r="N1" s="19" t="s">
        <v>18</v>
      </c>
      <c r="O1" s="19" t="s">
        <v>17</v>
      </c>
      <c r="P1" s="19" t="s">
        <v>16</v>
      </c>
      <c r="Q1" s="19" t="s">
        <v>15</v>
      </c>
      <c r="R1" s="19" t="s">
        <v>14</v>
      </c>
      <c r="S1" s="19" t="s">
        <v>13</v>
      </c>
      <c r="T1" s="19" t="s">
        <v>2</v>
      </c>
      <c r="U1" s="19" t="s">
        <v>1</v>
      </c>
      <c r="V1" s="19" t="s">
        <v>65</v>
      </c>
      <c r="W1" s="19" t="s">
        <v>63</v>
      </c>
      <c r="X1" s="19" t="s">
        <v>64</v>
      </c>
      <c r="Y1" s="15" t="s">
        <v>66</v>
      </c>
      <c r="Z1" s="15" t="s">
        <v>250</v>
      </c>
      <c r="AA1" s="19" t="s">
        <v>167</v>
      </c>
      <c r="AB1" s="22" t="s">
        <v>115</v>
      </c>
      <c r="AC1" s="22" t="s">
        <v>116</v>
      </c>
      <c r="AD1" s="22" t="s">
        <v>117</v>
      </c>
      <c r="AE1" s="22" t="s">
        <v>118</v>
      </c>
    </row>
    <row r="2" spans="1:31">
      <c r="A2" s="1" t="s">
        <v>150</v>
      </c>
      <c r="B2" s="1" t="s">
        <v>72</v>
      </c>
      <c r="C2" s="1" t="s">
        <v>68</v>
      </c>
      <c r="D2" s="1" t="s">
        <v>69</v>
      </c>
      <c r="E2" s="1" t="s">
        <v>70</v>
      </c>
      <c r="F2" s="1" t="s">
        <v>71</v>
      </c>
      <c r="G2" s="1">
        <v>9033019783</v>
      </c>
      <c r="H2" s="1" t="s">
        <v>73</v>
      </c>
      <c r="I2" s="3">
        <v>43665</v>
      </c>
      <c r="J2" s="3">
        <v>43665</v>
      </c>
      <c r="K2" s="3" t="s">
        <v>152</v>
      </c>
      <c r="L2" s="1">
        <v>0</v>
      </c>
      <c r="M2" s="1" t="s">
        <v>74</v>
      </c>
      <c r="N2" s="4" t="b">
        <v>0</v>
      </c>
      <c r="O2" s="1" t="s">
        <v>75</v>
      </c>
      <c r="P2" s="4" t="b">
        <v>0</v>
      </c>
      <c r="Q2" s="4" t="b">
        <v>0</v>
      </c>
      <c r="R2" s="4" t="b">
        <v>0</v>
      </c>
      <c r="S2" s="4" t="b">
        <v>0</v>
      </c>
      <c r="T2" s="4" t="s">
        <v>78</v>
      </c>
      <c r="U2" s="4">
        <v>2019</v>
      </c>
      <c r="V2" s="1">
        <v>0</v>
      </c>
      <c r="W2" s="1">
        <v>0</v>
      </c>
      <c r="X2" s="4">
        <v>0</v>
      </c>
      <c r="Y2" t="s">
        <v>79</v>
      </c>
      <c r="Z2">
        <v>1</v>
      </c>
    </row>
    <row r="3" spans="1:31">
      <c r="A3" s="26" t="s">
        <v>186</v>
      </c>
      <c r="B3" s="1" t="s">
        <v>187</v>
      </c>
      <c r="C3" s="1" t="s">
        <v>188</v>
      </c>
      <c r="D3" s="1" t="s">
        <v>189</v>
      </c>
      <c r="E3" s="1" t="s">
        <v>70</v>
      </c>
      <c r="F3" s="1" t="s">
        <v>190</v>
      </c>
      <c r="G3" s="1">
        <v>1234567890</v>
      </c>
      <c r="H3" s="1" t="s">
        <v>73</v>
      </c>
      <c r="I3" s="3">
        <v>43665</v>
      </c>
      <c r="J3" s="3">
        <v>43665</v>
      </c>
      <c r="K3" s="3" t="s">
        <v>152</v>
      </c>
      <c r="L3" s="1">
        <v>0</v>
      </c>
      <c r="M3" s="1" t="s">
        <v>74</v>
      </c>
      <c r="N3" s="4" t="b">
        <v>0</v>
      </c>
      <c r="O3" s="1" t="s">
        <v>76</v>
      </c>
      <c r="P3" s="4" t="b">
        <v>0</v>
      </c>
      <c r="Q3" s="4" t="b">
        <v>0</v>
      </c>
      <c r="R3" s="4" t="b">
        <v>0</v>
      </c>
      <c r="S3" s="4" t="b">
        <v>0</v>
      </c>
      <c r="T3" s="4" t="s">
        <v>78</v>
      </c>
      <c r="U3" s="4">
        <v>2019</v>
      </c>
      <c r="V3" s="1">
        <v>0</v>
      </c>
      <c r="W3" s="1">
        <v>0</v>
      </c>
      <c r="X3" s="4">
        <v>0</v>
      </c>
      <c r="Y3" t="s">
        <v>191</v>
      </c>
      <c r="Z3">
        <v>2</v>
      </c>
    </row>
    <row r="4" spans="1:31">
      <c r="A4" s="1" t="s">
        <v>192</v>
      </c>
      <c r="B4" s="1" t="s">
        <v>193</v>
      </c>
      <c r="C4" s="1" t="s">
        <v>194</v>
      </c>
      <c r="D4" s="1" t="s">
        <v>69</v>
      </c>
      <c r="E4" s="1" t="s">
        <v>70</v>
      </c>
      <c r="F4" s="1" t="s">
        <v>195</v>
      </c>
      <c r="G4" s="1">
        <v>9565852535</v>
      </c>
      <c r="H4" s="1" t="s">
        <v>73</v>
      </c>
      <c r="I4" s="3">
        <v>43665</v>
      </c>
      <c r="J4" s="3">
        <v>43665</v>
      </c>
      <c r="K4" s="3" t="s">
        <v>152</v>
      </c>
      <c r="L4" s="1">
        <v>0</v>
      </c>
      <c r="M4" s="1" t="s">
        <v>74</v>
      </c>
      <c r="N4" s="4" t="b">
        <v>0</v>
      </c>
      <c r="O4" t="s">
        <v>104</v>
      </c>
      <c r="P4" s="4" t="b">
        <v>0</v>
      </c>
      <c r="Q4" s="4" t="b">
        <v>0</v>
      </c>
      <c r="R4" s="4" t="b">
        <v>0</v>
      </c>
      <c r="S4" s="4" t="b">
        <v>0</v>
      </c>
      <c r="T4" s="4" t="s">
        <v>78</v>
      </c>
      <c r="U4" s="4">
        <v>2019</v>
      </c>
      <c r="V4" s="1">
        <v>0</v>
      </c>
      <c r="W4" s="1">
        <v>0</v>
      </c>
      <c r="X4" s="4">
        <v>0</v>
      </c>
      <c r="Y4" t="s">
        <v>196</v>
      </c>
      <c r="Z4">
        <v>3</v>
      </c>
    </row>
    <row r="5" spans="1:31">
      <c r="A5" s="1" t="s">
        <v>197</v>
      </c>
      <c r="B5" s="1" t="s">
        <v>198</v>
      </c>
      <c r="C5" s="1" t="s">
        <v>199</v>
      </c>
      <c r="D5" s="1" t="s">
        <v>200</v>
      </c>
      <c r="E5" s="1" t="s">
        <v>70</v>
      </c>
      <c r="F5" s="1" t="s">
        <v>201</v>
      </c>
      <c r="G5" s="1">
        <v>9686764512</v>
      </c>
      <c r="H5" s="1" t="s">
        <v>73</v>
      </c>
      <c r="I5" s="3">
        <v>43665</v>
      </c>
      <c r="J5" s="3">
        <v>43665</v>
      </c>
      <c r="K5" s="3" t="s">
        <v>152</v>
      </c>
      <c r="L5" s="1">
        <v>0</v>
      </c>
      <c r="M5" s="1" t="s">
        <v>74</v>
      </c>
      <c r="N5" s="4" t="b">
        <v>0</v>
      </c>
      <c r="O5" s="1" t="s">
        <v>168</v>
      </c>
      <c r="P5" s="4" t="b">
        <v>0</v>
      </c>
      <c r="Q5" s="4" t="b">
        <v>0</v>
      </c>
      <c r="R5" s="4" t="b">
        <v>0</v>
      </c>
      <c r="S5" s="4" t="b">
        <v>0</v>
      </c>
      <c r="T5" s="4" t="s">
        <v>78</v>
      </c>
      <c r="U5" s="4">
        <v>2019</v>
      </c>
      <c r="V5" s="1">
        <v>0</v>
      </c>
      <c r="W5" s="1">
        <v>0</v>
      </c>
      <c r="X5" s="4">
        <v>0</v>
      </c>
      <c r="Y5" t="s">
        <v>80</v>
      </c>
      <c r="Z5">
        <v>4</v>
      </c>
    </row>
    <row r="6" spans="1:31">
      <c r="A6" s="1" t="s">
        <v>202</v>
      </c>
      <c r="B6" s="1" t="s">
        <v>203</v>
      </c>
      <c r="C6" s="1" t="s">
        <v>204</v>
      </c>
      <c r="D6" s="1" t="s">
        <v>189</v>
      </c>
      <c r="E6" s="1" t="s">
        <v>70</v>
      </c>
      <c r="F6" s="27" t="s">
        <v>205</v>
      </c>
      <c r="G6" s="1">
        <v>8521479630</v>
      </c>
      <c r="H6" s="1" t="s">
        <v>73</v>
      </c>
      <c r="I6" s="3">
        <v>43665</v>
      </c>
      <c r="J6" s="3">
        <v>43665</v>
      </c>
      <c r="K6" s="3" t="s">
        <v>152</v>
      </c>
      <c r="L6" s="1">
        <v>0</v>
      </c>
      <c r="M6" s="1" t="s">
        <v>74</v>
      </c>
      <c r="N6" s="4" t="b">
        <v>0</v>
      </c>
      <c r="O6" t="s">
        <v>170</v>
      </c>
      <c r="P6" s="4" t="b">
        <v>0</v>
      </c>
      <c r="Q6" s="4" t="b">
        <v>0</v>
      </c>
      <c r="R6" s="4" t="b">
        <v>0</v>
      </c>
      <c r="S6" s="4" t="b">
        <v>0</v>
      </c>
      <c r="T6" s="4" t="s">
        <v>78</v>
      </c>
      <c r="U6" s="4">
        <v>2019</v>
      </c>
      <c r="V6" s="1">
        <v>0</v>
      </c>
      <c r="W6" s="1">
        <v>0</v>
      </c>
      <c r="X6" s="4">
        <v>0</v>
      </c>
      <c r="Y6" t="s">
        <v>80</v>
      </c>
      <c r="Z6">
        <v>9999</v>
      </c>
    </row>
  </sheetData>
  <hyperlinks>
    <hyperlink ref="F6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5" sqref="A5"/>
    </sheetView>
  </sheetViews>
  <sheetFormatPr defaultRowHeight="15"/>
  <cols>
    <col min="1" max="1" width="14.5703125" style="1" bestFit="1" customWidth="1"/>
    <col min="2" max="2" width="14.5703125" style="1" customWidth="1"/>
    <col min="3" max="3" width="35.28515625" style="1" bestFit="1" customWidth="1"/>
    <col min="5" max="16384" width="9.140625" style="1"/>
  </cols>
  <sheetData>
    <row r="1" spans="1:4" s="23" customFormat="1">
      <c r="A1" s="19" t="s">
        <v>0</v>
      </c>
      <c r="B1" s="19" t="s">
        <v>47</v>
      </c>
      <c r="C1" s="19" t="s">
        <v>54</v>
      </c>
      <c r="D1" s="15" t="s">
        <v>48</v>
      </c>
    </row>
    <row r="2" spans="1:4">
      <c r="A2" s="1" t="s">
        <v>72</v>
      </c>
      <c r="B2" s="4" t="s">
        <v>169</v>
      </c>
      <c r="C2" s="1" t="s">
        <v>71</v>
      </c>
      <c r="D2" t="b">
        <v>1</v>
      </c>
    </row>
    <row r="3" spans="1:4">
      <c r="A3" s="1" t="s">
        <v>187</v>
      </c>
      <c r="B3" s="4" t="s">
        <v>169</v>
      </c>
      <c r="C3" s="1" t="s">
        <v>190</v>
      </c>
      <c r="D3" t="b">
        <v>1</v>
      </c>
    </row>
    <row r="4" spans="1:4">
      <c r="A4" s="1" t="s">
        <v>193</v>
      </c>
      <c r="B4" s="4" t="s">
        <v>169</v>
      </c>
      <c r="C4" s="1" t="s">
        <v>195</v>
      </c>
      <c r="D4" t="b">
        <v>1</v>
      </c>
    </row>
    <row r="5" spans="1:4">
      <c r="A5" s="1" t="s">
        <v>198</v>
      </c>
      <c r="B5" s="4" t="s">
        <v>169</v>
      </c>
      <c r="C5" s="1" t="s">
        <v>201</v>
      </c>
      <c r="D5" t="b">
        <v>1</v>
      </c>
    </row>
    <row r="6" spans="1:4">
      <c r="A6" s="1" t="s">
        <v>203</v>
      </c>
      <c r="B6" s="4" t="s">
        <v>169</v>
      </c>
      <c r="C6" s="27" t="s">
        <v>205</v>
      </c>
      <c r="D6" t="b">
        <v>1</v>
      </c>
    </row>
  </sheetData>
  <hyperlinks>
    <hyperlink ref="C6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A5" sqref="A5"/>
    </sheetView>
  </sheetViews>
  <sheetFormatPr defaultRowHeight="15"/>
  <cols>
    <col min="1" max="1" width="14.5703125" style="1" bestFit="1" customWidth="1"/>
    <col min="2" max="2" width="13.7109375" bestFit="1" customWidth="1"/>
    <col min="3" max="3" width="13.42578125" bestFit="1" customWidth="1"/>
    <col min="5" max="5" width="14.140625" bestFit="1" customWidth="1"/>
    <col min="7" max="16384" width="9.140625" style="1"/>
  </cols>
  <sheetData>
    <row r="1" spans="1:6" s="23" customFormat="1">
      <c r="A1" s="19" t="s">
        <v>0</v>
      </c>
      <c r="B1" s="15" t="s">
        <v>51</v>
      </c>
      <c r="C1" s="15" t="s">
        <v>6</v>
      </c>
      <c r="D1" s="15" t="s">
        <v>49</v>
      </c>
      <c r="E1" s="15" t="s">
        <v>50</v>
      </c>
      <c r="F1" s="15" t="s">
        <v>48</v>
      </c>
    </row>
    <row r="2" spans="1:6">
      <c r="A2" s="1" t="s">
        <v>72</v>
      </c>
      <c r="B2" t="s">
        <v>81</v>
      </c>
      <c r="C2" t="s">
        <v>82</v>
      </c>
      <c r="D2" s="6" t="s">
        <v>83</v>
      </c>
      <c r="E2" s="1">
        <v>9033019783</v>
      </c>
      <c r="F2" t="b">
        <v>1</v>
      </c>
    </row>
    <row r="3" spans="1:6">
      <c r="A3" s="1" t="s">
        <v>187</v>
      </c>
      <c r="B3" t="s">
        <v>81</v>
      </c>
      <c r="C3" t="s">
        <v>82</v>
      </c>
      <c r="D3" s="6" t="s">
        <v>83</v>
      </c>
      <c r="E3" s="1">
        <v>1234567890</v>
      </c>
      <c r="F3" t="b">
        <v>1</v>
      </c>
    </row>
    <row r="4" spans="1:6">
      <c r="A4" s="1" t="s">
        <v>193</v>
      </c>
      <c r="B4" t="s">
        <v>81</v>
      </c>
      <c r="C4" t="s">
        <v>82</v>
      </c>
      <c r="D4" s="6" t="s">
        <v>83</v>
      </c>
      <c r="E4" s="1">
        <v>9565852535</v>
      </c>
      <c r="F4" t="b">
        <v>1</v>
      </c>
    </row>
    <row r="5" spans="1:6">
      <c r="A5" s="1" t="s">
        <v>198</v>
      </c>
      <c r="B5" t="s">
        <v>81</v>
      </c>
      <c r="C5" t="s">
        <v>82</v>
      </c>
      <c r="D5" s="6" t="s">
        <v>83</v>
      </c>
      <c r="E5" s="1">
        <v>9686764512</v>
      </c>
      <c r="F5" t="b">
        <v>1</v>
      </c>
    </row>
    <row r="6" spans="1:6">
      <c r="A6" s="1" t="s">
        <v>203</v>
      </c>
      <c r="B6" t="s">
        <v>81</v>
      </c>
      <c r="C6" t="s">
        <v>82</v>
      </c>
      <c r="D6" s="6" t="s">
        <v>83</v>
      </c>
      <c r="E6" s="1">
        <v>8521479630</v>
      </c>
      <c r="F6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selection activeCell="N11" sqref="N11"/>
    </sheetView>
  </sheetViews>
  <sheetFormatPr defaultRowHeight="15"/>
  <cols>
    <col min="1" max="1" width="13.570312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2.42578125" bestFit="1" customWidth="1"/>
    <col min="6" max="6" width="11.7109375" bestFit="1" customWidth="1"/>
    <col min="7" max="7" width="10.85546875" bestFit="1" customWidth="1"/>
    <col min="11" max="11" width="20.85546875" bestFit="1" customWidth="1"/>
    <col min="12" max="12" width="18.42578125" bestFit="1" customWidth="1"/>
  </cols>
  <sheetData>
    <row r="1" spans="1:14">
      <c r="A1" s="19" t="s">
        <v>0</v>
      </c>
      <c r="B1" s="15" t="s">
        <v>11</v>
      </c>
      <c r="C1" s="15" t="s">
        <v>10</v>
      </c>
      <c r="D1" s="15" t="s">
        <v>9</v>
      </c>
      <c r="E1" s="15" t="s">
        <v>8</v>
      </c>
      <c r="F1" s="15" t="s">
        <v>52</v>
      </c>
      <c r="G1" s="15" t="s">
        <v>53</v>
      </c>
      <c r="H1" s="15" t="s">
        <v>6</v>
      </c>
      <c r="I1" s="15" t="s">
        <v>7</v>
      </c>
      <c r="J1" s="15" t="s">
        <v>249</v>
      </c>
      <c r="K1" s="15" t="s">
        <v>245</v>
      </c>
      <c r="L1" s="15" t="s">
        <v>246</v>
      </c>
      <c r="M1" s="15" t="s">
        <v>244</v>
      </c>
      <c r="N1" s="15" t="s">
        <v>48</v>
      </c>
    </row>
    <row r="2" spans="1:14">
      <c r="A2" s="1" t="s">
        <v>72</v>
      </c>
      <c r="B2" t="s">
        <v>84</v>
      </c>
      <c r="C2" t="s">
        <v>85</v>
      </c>
      <c r="D2" t="s">
        <v>86</v>
      </c>
      <c r="E2" s="4" t="s">
        <v>89</v>
      </c>
      <c r="F2" t="s">
        <v>87</v>
      </c>
      <c r="G2" t="s">
        <v>88</v>
      </c>
      <c r="H2" t="s">
        <v>82</v>
      </c>
      <c r="I2">
        <v>380060</v>
      </c>
      <c r="J2" t="s">
        <v>87</v>
      </c>
      <c r="K2" s="3">
        <v>43665</v>
      </c>
      <c r="M2" t="b">
        <v>0</v>
      </c>
      <c r="N2" t="b">
        <v>1</v>
      </c>
    </row>
    <row r="3" spans="1:14">
      <c r="A3" s="1" t="s">
        <v>72</v>
      </c>
      <c r="B3" t="s">
        <v>84</v>
      </c>
      <c r="C3" t="s">
        <v>85</v>
      </c>
      <c r="D3" t="s">
        <v>86</v>
      </c>
      <c r="E3" s="4" t="s">
        <v>90</v>
      </c>
      <c r="F3" t="s">
        <v>87</v>
      </c>
      <c r="G3" t="s">
        <v>88</v>
      </c>
      <c r="H3" t="s">
        <v>82</v>
      </c>
      <c r="I3">
        <v>380060</v>
      </c>
      <c r="J3" t="s">
        <v>87</v>
      </c>
      <c r="K3" s="3">
        <v>43665</v>
      </c>
      <c r="M3" t="b">
        <v>1</v>
      </c>
      <c r="N3" t="b">
        <v>1</v>
      </c>
    </row>
    <row r="4" spans="1:14">
      <c r="A4" s="1" t="s">
        <v>187</v>
      </c>
      <c r="B4" t="s">
        <v>84</v>
      </c>
      <c r="C4" t="s">
        <v>85</v>
      </c>
      <c r="D4" t="s">
        <v>86</v>
      </c>
      <c r="E4" s="4" t="s">
        <v>89</v>
      </c>
      <c r="F4" t="s">
        <v>87</v>
      </c>
      <c r="G4" t="s">
        <v>88</v>
      </c>
      <c r="H4" t="s">
        <v>82</v>
      </c>
      <c r="I4">
        <v>380060</v>
      </c>
      <c r="J4" t="s">
        <v>87</v>
      </c>
      <c r="K4" s="3">
        <v>43665</v>
      </c>
      <c r="M4" t="b">
        <v>1</v>
      </c>
      <c r="N4" t="b">
        <v>1</v>
      </c>
    </row>
    <row r="5" spans="1:14">
      <c r="A5" s="1" t="s">
        <v>193</v>
      </c>
      <c r="B5" t="s">
        <v>84</v>
      </c>
      <c r="C5" t="s">
        <v>85</v>
      </c>
      <c r="D5" t="s">
        <v>86</v>
      </c>
      <c r="E5" s="4" t="s">
        <v>89</v>
      </c>
      <c r="F5" t="s">
        <v>87</v>
      </c>
      <c r="G5" t="s">
        <v>88</v>
      </c>
      <c r="H5" t="s">
        <v>82</v>
      </c>
      <c r="I5">
        <v>380060</v>
      </c>
      <c r="J5" t="s">
        <v>87</v>
      </c>
      <c r="K5" s="3">
        <v>43665</v>
      </c>
      <c r="M5" t="b">
        <v>1</v>
      </c>
      <c r="N5" t="b">
        <v>1</v>
      </c>
    </row>
    <row r="6" spans="1:14">
      <c r="A6" s="1" t="s">
        <v>198</v>
      </c>
      <c r="B6" t="s">
        <v>84</v>
      </c>
      <c r="C6" t="s">
        <v>85</v>
      </c>
      <c r="D6" t="s">
        <v>86</v>
      </c>
      <c r="E6" s="4" t="s">
        <v>89</v>
      </c>
      <c r="F6" t="s">
        <v>87</v>
      </c>
      <c r="G6" t="s">
        <v>88</v>
      </c>
      <c r="H6" t="s">
        <v>82</v>
      </c>
      <c r="I6">
        <v>380060</v>
      </c>
      <c r="J6" t="s">
        <v>87</v>
      </c>
      <c r="K6" s="3">
        <v>43665</v>
      </c>
      <c r="M6" t="b">
        <v>1</v>
      </c>
      <c r="N6" t="b">
        <v>1</v>
      </c>
    </row>
    <row r="7" spans="1:14">
      <c r="A7" s="1" t="s">
        <v>187</v>
      </c>
      <c r="B7" t="s">
        <v>84</v>
      </c>
      <c r="C7" t="s">
        <v>85</v>
      </c>
      <c r="D7" t="s">
        <v>86</v>
      </c>
      <c r="E7" s="4" t="s">
        <v>90</v>
      </c>
      <c r="F7" t="s">
        <v>87</v>
      </c>
      <c r="G7" t="s">
        <v>88</v>
      </c>
      <c r="H7" t="s">
        <v>82</v>
      </c>
      <c r="I7">
        <v>380060</v>
      </c>
      <c r="J7" t="s">
        <v>87</v>
      </c>
      <c r="K7" s="3">
        <v>43665</v>
      </c>
      <c r="M7" t="b">
        <v>0</v>
      </c>
      <c r="N7" t="b">
        <v>1</v>
      </c>
    </row>
    <row r="8" spans="1:14">
      <c r="A8" s="1" t="s">
        <v>193</v>
      </c>
      <c r="B8" t="s">
        <v>84</v>
      </c>
      <c r="C8" t="s">
        <v>85</v>
      </c>
      <c r="D8" t="s">
        <v>86</v>
      </c>
      <c r="E8" s="4" t="s">
        <v>90</v>
      </c>
      <c r="F8" t="s">
        <v>87</v>
      </c>
      <c r="G8" t="s">
        <v>88</v>
      </c>
      <c r="H8" t="s">
        <v>82</v>
      </c>
      <c r="I8">
        <v>380060</v>
      </c>
      <c r="J8" t="s">
        <v>87</v>
      </c>
      <c r="K8" s="3">
        <v>43665</v>
      </c>
      <c r="M8" t="b">
        <v>0</v>
      </c>
      <c r="N8" t="b">
        <v>1</v>
      </c>
    </row>
    <row r="9" spans="1:14">
      <c r="A9" s="1" t="s">
        <v>198</v>
      </c>
      <c r="B9" t="s">
        <v>84</v>
      </c>
      <c r="C9" t="s">
        <v>85</v>
      </c>
      <c r="D9" t="s">
        <v>86</v>
      </c>
      <c r="E9" s="4" t="s">
        <v>90</v>
      </c>
      <c r="F9" t="s">
        <v>87</v>
      </c>
      <c r="G9" t="s">
        <v>88</v>
      </c>
      <c r="H9" t="s">
        <v>82</v>
      </c>
      <c r="I9">
        <v>380060</v>
      </c>
      <c r="J9" t="s">
        <v>87</v>
      </c>
      <c r="K9" s="3">
        <v>43665</v>
      </c>
      <c r="M9" t="b">
        <v>0</v>
      </c>
      <c r="N9" t="b">
        <v>1</v>
      </c>
    </row>
    <row r="10" spans="1:14">
      <c r="A10" s="1" t="s">
        <v>203</v>
      </c>
      <c r="B10" t="s">
        <v>84</v>
      </c>
      <c r="C10" t="s">
        <v>85</v>
      </c>
      <c r="D10" t="s">
        <v>86</v>
      </c>
      <c r="E10" s="4" t="s">
        <v>90</v>
      </c>
      <c r="F10" t="s">
        <v>87</v>
      </c>
      <c r="G10" t="s">
        <v>88</v>
      </c>
      <c r="H10" t="s">
        <v>82</v>
      </c>
      <c r="I10">
        <v>380060</v>
      </c>
      <c r="J10" t="s">
        <v>87</v>
      </c>
      <c r="K10" s="3">
        <v>43665</v>
      </c>
      <c r="M10" t="b">
        <v>0</v>
      </c>
      <c r="N10" t="b">
        <v>1</v>
      </c>
    </row>
    <row r="11" spans="1:14">
      <c r="A11" s="1" t="s">
        <v>203</v>
      </c>
      <c r="B11" t="s">
        <v>84</v>
      </c>
      <c r="C11" t="s">
        <v>85</v>
      </c>
      <c r="D11" t="s">
        <v>86</v>
      </c>
      <c r="E11" s="4" t="s">
        <v>89</v>
      </c>
      <c r="F11" t="s">
        <v>87</v>
      </c>
      <c r="G11" t="s">
        <v>88</v>
      </c>
      <c r="H11" t="s">
        <v>82</v>
      </c>
      <c r="I11">
        <v>380060</v>
      </c>
      <c r="J11" t="s">
        <v>87</v>
      </c>
      <c r="K11" s="3">
        <v>43665</v>
      </c>
      <c r="M11" t="b">
        <v>1</v>
      </c>
      <c r="N1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topLeftCell="H1" workbookViewId="0">
      <selection activeCell="A5" sqref="A5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4" customFormat="1">
      <c r="A1" s="15" t="s">
        <v>223</v>
      </c>
      <c r="B1" s="15" t="s">
        <v>45</v>
      </c>
      <c r="C1" s="15" t="s">
        <v>55</v>
      </c>
      <c r="D1" s="15" t="s">
        <v>56</v>
      </c>
      <c r="E1" s="15" t="s">
        <v>57</v>
      </c>
      <c r="F1" s="15" t="s">
        <v>58</v>
      </c>
      <c r="G1" s="15" t="s">
        <v>59</v>
      </c>
      <c r="H1" s="15" t="s">
        <v>44</v>
      </c>
      <c r="I1" s="15" t="s">
        <v>60</v>
      </c>
      <c r="J1" s="15" t="s">
        <v>30</v>
      </c>
      <c r="K1" s="15" t="s">
        <v>29</v>
      </c>
      <c r="L1" s="15" t="s">
        <v>28</v>
      </c>
      <c r="M1" s="15" t="s">
        <v>27</v>
      </c>
    </row>
    <row r="2" spans="1:13">
      <c r="A2" s="1" t="s">
        <v>72</v>
      </c>
      <c r="B2" t="s">
        <v>91</v>
      </c>
      <c r="C2" s="1" t="s">
        <v>92</v>
      </c>
      <c r="D2" s="1" t="s">
        <v>93</v>
      </c>
      <c r="E2" t="s">
        <v>94</v>
      </c>
      <c r="F2" t="s">
        <v>95</v>
      </c>
      <c r="G2" t="s">
        <v>96</v>
      </c>
      <c r="H2" t="b">
        <v>1</v>
      </c>
      <c r="I2" t="s">
        <v>97</v>
      </c>
      <c r="J2" t="s">
        <v>98</v>
      </c>
      <c r="K2" t="s">
        <v>99</v>
      </c>
      <c r="L2" s="7">
        <v>38897</v>
      </c>
      <c r="M2">
        <v>10</v>
      </c>
    </row>
    <row r="3" spans="1:13">
      <c r="A3" s="1" t="s">
        <v>187</v>
      </c>
      <c r="B3" t="s">
        <v>91</v>
      </c>
      <c r="C3" s="1" t="s">
        <v>92</v>
      </c>
      <c r="D3" s="1" t="s">
        <v>93</v>
      </c>
      <c r="E3" t="s">
        <v>94</v>
      </c>
      <c r="F3" t="s">
        <v>95</v>
      </c>
      <c r="G3" t="s">
        <v>96</v>
      </c>
      <c r="H3" t="b">
        <v>1</v>
      </c>
      <c r="I3" t="s">
        <v>97</v>
      </c>
      <c r="J3" t="s">
        <v>98</v>
      </c>
      <c r="K3" t="s">
        <v>99</v>
      </c>
      <c r="L3" s="7">
        <v>38898</v>
      </c>
      <c r="M3">
        <v>10</v>
      </c>
    </row>
    <row r="4" spans="1:13">
      <c r="A4" s="1" t="s">
        <v>193</v>
      </c>
      <c r="B4" t="s">
        <v>91</v>
      </c>
      <c r="C4" s="1" t="s">
        <v>92</v>
      </c>
      <c r="D4" s="1" t="s">
        <v>93</v>
      </c>
      <c r="E4" t="s">
        <v>94</v>
      </c>
      <c r="F4" t="s">
        <v>95</v>
      </c>
      <c r="G4" t="s">
        <v>96</v>
      </c>
      <c r="H4" t="b">
        <v>1</v>
      </c>
      <c r="I4" t="s">
        <v>97</v>
      </c>
      <c r="J4" t="s">
        <v>98</v>
      </c>
      <c r="K4" t="s">
        <v>99</v>
      </c>
      <c r="L4" s="7">
        <v>41091</v>
      </c>
      <c r="M4">
        <v>10</v>
      </c>
    </row>
    <row r="5" spans="1:13">
      <c r="A5" s="1" t="s">
        <v>198</v>
      </c>
      <c r="B5" t="s">
        <v>91</v>
      </c>
      <c r="C5" s="1" t="s">
        <v>92</v>
      </c>
      <c r="D5" s="1" t="s">
        <v>93</v>
      </c>
      <c r="E5" t="s">
        <v>94</v>
      </c>
      <c r="F5" t="s">
        <v>95</v>
      </c>
      <c r="G5" t="s">
        <v>96</v>
      </c>
      <c r="H5" t="b">
        <v>1</v>
      </c>
      <c r="I5" t="s">
        <v>97</v>
      </c>
      <c r="J5" t="s">
        <v>98</v>
      </c>
      <c r="K5" t="s">
        <v>99</v>
      </c>
      <c r="L5" s="7">
        <v>42918</v>
      </c>
      <c r="M5">
        <v>10</v>
      </c>
    </row>
    <row r="6" spans="1:13">
      <c r="A6" s="1" t="s">
        <v>203</v>
      </c>
      <c r="B6" t="s">
        <v>91</v>
      </c>
      <c r="C6" s="1" t="s">
        <v>92</v>
      </c>
      <c r="D6" s="1" t="s">
        <v>93</v>
      </c>
      <c r="E6" t="s">
        <v>94</v>
      </c>
      <c r="F6" t="s">
        <v>95</v>
      </c>
      <c r="G6" t="s">
        <v>96</v>
      </c>
      <c r="H6" t="b">
        <v>1</v>
      </c>
      <c r="I6" t="s">
        <v>97</v>
      </c>
      <c r="J6" t="s">
        <v>98</v>
      </c>
      <c r="K6" t="s">
        <v>99</v>
      </c>
      <c r="L6" s="7">
        <v>42918</v>
      </c>
      <c r="M6">
        <v>10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5" sqref="A5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2" customWidth="1"/>
    <col min="7" max="7" width="15.42578125" customWidth="1"/>
    <col min="8" max="8" width="13.42578125" customWidth="1"/>
    <col min="9" max="16384" width="9.140625" style="1"/>
  </cols>
  <sheetData>
    <row r="1" spans="1:8" s="23" customFormat="1">
      <c r="A1" s="19" t="s">
        <v>0</v>
      </c>
      <c r="B1" s="19" t="s">
        <v>5</v>
      </c>
      <c r="C1" s="19" t="s">
        <v>4</v>
      </c>
      <c r="D1" s="19" t="s">
        <v>46</v>
      </c>
      <c r="E1" s="19" t="s">
        <v>3</v>
      </c>
      <c r="F1" s="20" t="s">
        <v>32</v>
      </c>
      <c r="G1" s="15" t="s">
        <v>26</v>
      </c>
      <c r="H1" s="15" t="s">
        <v>25</v>
      </c>
    </row>
    <row r="2" spans="1:8">
      <c r="A2" s="1" t="s">
        <v>72</v>
      </c>
      <c r="B2" s="1" t="s">
        <v>100</v>
      </c>
      <c r="C2" s="1" t="s">
        <v>87</v>
      </c>
      <c r="D2" s="4" t="s">
        <v>101</v>
      </c>
      <c r="E2" s="4">
        <v>12345678901</v>
      </c>
      <c r="F2" s="8" t="s">
        <v>102</v>
      </c>
      <c r="G2" s="7">
        <v>43665</v>
      </c>
      <c r="H2" s="7"/>
    </row>
    <row r="3" spans="1:8">
      <c r="A3" s="1" t="s">
        <v>187</v>
      </c>
      <c r="B3" s="1" t="s">
        <v>100</v>
      </c>
      <c r="C3" s="1" t="s">
        <v>87</v>
      </c>
      <c r="D3" s="4" t="s">
        <v>101</v>
      </c>
      <c r="E3" s="4">
        <v>12345678902</v>
      </c>
      <c r="F3" s="8" t="s">
        <v>206</v>
      </c>
      <c r="G3" s="7">
        <v>43665</v>
      </c>
      <c r="H3" s="7"/>
    </row>
    <row r="4" spans="1:8">
      <c r="A4" s="1" t="s">
        <v>193</v>
      </c>
      <c r="B4" s="1" t="s">
        <v>100</v>
      </c>
      <c r="C4" s="1" t="s">
        <v>87</v>
      </c>
      <c r="D4" s="4" t="s">
        <v>101</v>
      </c>
      <c r="E4" s="4">
        <v>12345678903</v>
      </c>
      <c r="F4" s="8" t="s">
        <v>207</v>
      </c>
      <c r="G4" s="7">
        <v>43665</v>
      </c>
      <c r="H4" s="7"/>
    </row>
    <row r="5" spans="1:8">
      <c r="A5" s="1" t="s">
        <v>198</v>
      </c>
      <c r="B5" s="1" t="s">
        <v>100</v>
      </c>
      <c r="C5" s="1" t="s">
        <v>87</v>
      </c>
      <c r="D5" s="4" t="s">
        <v>101</v>
      </c>
      <c r="E5" s="4">
        <v>12345678904</v>
      </c>
      <c r="F5" s="8" t="s">
        <v>208</v>
      </c>
      <c r="G5" s="7">
        <v>43665</v>
      </c>
      <c r="H5" s="7"/>
    </row>
    <row r="6" spans="1:8">
      <c r="A6" s="1" t="s">
        <v>203</v>
      </c>
      <c r="B6" s="1" t="s">
        <v>100</v>
      </c>
      <c r="C6" s="1" t="s">
        <v>87</v>
      </c>
      <c r="D6" s="4" t="s">
        <v>101</v>
      </c>
      <c r="E6" s="4">
        <v>12345678905</v>
      </c>
      <c r="F6" s="8" t="s">
        <v>209</v>
      </c>
      <c r="G6" s="7">
        <v>43665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5" sqref="A5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style="5" bestFit="1" customWidth="1"/>
    <col min="4" max="4" width="13.5703125" bestFit="1" customWidth="1"/>
    <col min="5" max="16384" width="9.140625" style="1"/>
  </cols>
  <sheetData>
    <row r="1" spans="1:4" s="23" customFormat="1">
      <c r="A1" s="15" t="s">
        <v>0</v>
      </c>
      <c r="B1" s="15" t="s">
        <v>42</v>
      </c>
      <c r="C1" s="18" t="s">
        <v>43</v>
      </c>
      <c r="D1" s="15" t="s">
        <v>12</v>
      </c>
    </row>
    <row r="2" spans="1:4">
      <c r="A2" s="1" t="s">
        <v>72</v>
      </c>
      <c r="B2" t="s">
        <v>112</v>
      </c>
      <c r="C2" s="5">
        <v>43665</v>
      </c>
    </row>
    <row r="3" spans="1:4">
      <c r="A3" s="1" t="s">
        <v>187</v>
      </c>
      <c r="B3" t="s">
        <v>213</v>
      </c>
      <c r="C3" s="5">
        <v>43665</v>
      </c>
    </row>
    <row r="4" spans="1:4">
      <c r="A4" s="1" t="s">
        <v>193</v>
      </c>
      <c r="B4" t="s">
        <v>80</v>
      </c>
      <c r="C4" s="5">
        <v>43665</v>
      </c>
    </row>
    <row r="5" spans="1:4">
      <c r="A5" s="1" t="s">
        <v>198</v>
      </c>
      <c r="B5" t="s">
        <v>213</v>
      </c>
      <c r="C5" s="5">
        <v>43665</v>
      </c>
    </row>
    <row r="6" spans="1:4">
      <c r="A6" s="1" t="s">
        <v>203</v>
      </c>
      <c r="B6" t="s">
        <v>80</v>
      </c>
      <c r="C6" s="5">
        <v>43665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5" sqref="A5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3" customFormat="1">
      <c r="A1" s="15" t="s">
        <v>0</v>
      </c>
      <c r="B1" s="15" t="s">
        <v>124</v>
      </c>
      <c r="C1" s="15" t="s">
        <v>153</v>
      </c>
      <c r="D1" s="15" t="s">
        <v>154</v>
      </c>
    </row>
    <row r="2" spans="1:4">
      <c r="A2" s="1" t="s">
        <v>72</v>
      </c>
      <c r="B2" t="s">
        <v>133</v>
      </c>
      <c r="C2" s="5">
        <v>43665</v>
      </c>
      <c r="D2" s="25"/>
    </row>
    <row r="3" spans="1:4">
      <c r="A3" s="1" t="s">
        <v>187</v>
      </c>
      <c r="B3" t="s">
        <v>214</v>
      </c>
      <c r="C3" s="5">
        <v>43665</v>
      </c>
      <c r="D3" s="25"/>
    </row>
    <row r="4" spans="1:4">
      <c r="A4" s="1" t="s">
        <v>193</v>
      </c>
      <c r="B4" t="s">
        <v>215</v>
      </c>
      <c r="C4" s="5">
        <v>43665</v>
      </c>
    </row>
    <row r="5" spans="1:4">
      <c r="A5" s="1" t="s">
        <v>198</v>
      </c>
      <c r="B5" t="s">
        <v>191</v>
      </c>
      <c r="C5" s="5">
        <v>43665</v>
      </c>
    </row>
    <row r="6" spans="1:4">
      <c r="A6" s="1" t="s">
        <v>203</v>
      </c>
      <c r="B6" t="s">
        <v>196</v>
      </c>
      <c r="C6" s="5">
        <v>43665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B4" sqref="B4"/>
    </sheetView>
  </sheetViews>
  <sheetFormatPr defaultRowHeight="15"/>
  <cols>
    <col min="1" max="1" width="13.28515625" bestFit="1" customWidth="1"/>
    <col min="2" max="2" width="26.28515625" bestFit="1" customWidth="1"/>
    <col min="4" max="16384" width="9.140625" style="1"/>
  </cols>
  <sheetData>
    <row r="1" spans="1:3" s="24" customFormat="1">
      <c r="A1" s="15" t="s">
        <v>0</v>
      </c>
      <c r="B1" s="15" t="s">
        <v>247</v>
      </c>
      <c r="C1" s="15" t="s">
        <v>31</v>
      </c>
    </row>
    <row r="2" spans="1:3">
      <c r="A2" s="9" t="s">
        <v>72</v>
      </c>
      <c r="B2" s="9" t="s">
        <v>75</v>
      </c>
      <c r="C2" t="b">
        <v>1</v>
      </c>
    </row>
    <row r="3" spans="1:3">
      <c r="A3" s="9" t="s">
        <v>72</v>
      </c>
      <c r="B3" t="s">
        <v>77</v>
      </c>
      <c r="C3" t="b">
        <v>1</v>
      </c>
    </row>
    <row r="4" spans="1:3">
      <c r="A4" s="9" t="s">
        <v>72</v>
      </c>
      <c r="B4" t="s">
        <v>104</v>
      </c>
      <c r="C4" t="b">
        <v>1</v>
      </c>
    </row>
    <row r="5" spans="1:3">
      <c r="A5" s="9" t="s">
        <v>72</v>
      </c>
      <c r="B5" t="s">
        <v>103</v>
      </c>
      <c r="C5" t="b">
        <v>1</v>
      </c>
    </row>
    <row r="6" spans="1:3">
      <c r="A6" s="9" t="s">
        <v>72</v>
      </c>
      <c r="B6" t="s">
        <v>155</v>
      </c>
      <c r="C6" t="b">
        <v>1</v>
      </c>
    </row>
    <row r="7" spans="1:3">
      <c r="A7" s="9" t="s">
        <v>72</v>
      </c>
      <c r="B7" t="s">
        <v>76</v>
      </c>
      <c r="C7" t="b">
        <v>1</v>
      </c>
    </row>
    <row r="8" spans="1:3">
      <c r="A8" s="9" t="s">
        <v>72</v>
      </c>
      <c r="B8" t="s">
        <v>77</v>
      </c>
      <c r="C8" t="b">
        <v>1</v>
      </c>
    </row>
    <row r="9" spans="1:3">
      <c r="A9" s="9" t="s">
        <v>72</v>
      </c>
      <c r="B9" t="s">
        <v>103</v>
      </c>
      <c r="C9" t="b">
        <v>1</v>
      </c>
    </row>
    <row r="10" spans="1:3">
      <c r="A10" s="9" t="s">
        <v>72</v>
      </c>
      <c r="B10" t="s">
        <v>104</v>
      </c>
      <c r="C10" t="b">
        <v>1</v>
      </c>
    </row>
    <row r="11" spans="1:3">
      <c r="A11" s="9" t="s">
        <v>72</v>
      </c>
      <c r="B11" t="s">
        <v>103</v>
      </c>
      <c r="C11" t="b">
        <v>1</v>
      </c>
    </row>
    <row r="12" spans="1:3">
      <c r="A12" s="9" t="s">
        <v>72</v>
      </c>
      <c r="B12" t="s">
        <v>77</v>
      </c>
      <c r="C12" t="b">
        <v>1</v>
      </c>
    </row>
    <row r="13" spans="1:3">
      <c r="A13" s="9" t="s">
        <v>72</v>
      </c>
      <c r="B13" t="s">
        <v>103</v>
      </c>
      <c r="C13" t="b">
        <v>1</v>
      </c>
    </row>
    <row r="14" spans="1:3">
      <c r="A14" s="9" t="s">
        <v>72</v>
      </c>
      <c r="B14" t="s">
        <v>170</v>
      </c>
      <c r="C14" t="b">
        <v>1</v>
      </c>
    </row>
    <row r="15" spans="1:3">
      <c r="A15" s="9" t="s">
        <v>72</v>
      </c>
      <c r="B15" t="s">
        <v>168</v>
      </c>
      <c r="C15" t="b">
        <v>1</v>
      </c>
    </row>
    <row r="16" spans="1:3">
      <c r="A16" s="9" t="s">
        <v>72</v>
      </c>
      <c r="B16" t="s">
        <v>171</v>
      </c>
      <c r="C16" t="b">
        <v>1</v>
      </c>
    </row>
    <row r="17" spans="1:3">
      <c r="A17" t="s">
        <v>187</v>
      </c>
      <c r="B17" t="s">
        <v>76</v>
      </c>
      <c r="C17" t="b">
        <v>1</v>
      </c>
    </row>
    <row r="18" spans="1:3">
      <c r="A18" t="s">
        <v>187</v>
      </c>
      <c r="B18" t="s">
        <v>77</v>
      </c>
      <c r="C18" t="b">
        <v>1</v>
      </c>
    </row>
    <row r="19" spans="1:3">
      <c r="A19" t="s">
        <v>187</v>
      </c>
      <c r="B19" t="s">
        <v>103</v>
      </c>
      <c r="C19" t="b">
        <v>1</v>
      </c>
    </row>
    <row r="20" spans="1:3">
      <c r="A20" t="s">
        <v>193</v>
      </c>
      <c r="B20" t="s">
        <v>104</v>
      </c>
      <c r="C20" t="b">
        <v>1</v>
      </c>
    </row>
    <row r="21" spans="1:3">
      <c r="A21" t="s">
        <v>193</v>
      </c>
      <c r="B21" t="s">
        <v>103</v>
      </c>
      <c r="C21" t="b">
        <v>1</v>
      </c>
    </row>
    <row r="22" spans="1:3">
      <c r="A22" t="s">
        <v>193</v>
      </c>
      <c r="B22" t="s">
        <v>77</v>
      </c>
      <c r="C22" t="b">
        <v>1</v>
      </c>
    </row>
    <row r="23" spans="1:3">
      <c r="A23" t="s">
        <v>198</v>
      </c>
      <c r="B23" t="s">
        <v>103</v>
      </c>
      <c r="C23" t="b">
        <v>1</v>
      </c>
    </row>
    <row r="24" spans="1:3">
      <c r="A24" t="s">
        <v>203</v>
      </c>
      <c r="B24" t="s">
        <v>170</v>
      </c>
      <c r="C24" t="b">
        <v>1</v>
      </c>
    </row>
    <row r="25" spans="1:3">
      <c r="A25" t="s">
        <v>198</v>
      </c>
      <c r="B25" t="s">
        <v>168</v>
      </c>
      <c r="C25" t="b">
        <v>1</v>
      </c>
    </row>
    <row r="26" spans="1:3">
      <c r="A26" t="s">
        <v>198</v>
      </c>
      <c r="B26" t="s">
        <v>171</v>
      </c>
      <c r="C26" t="b">
        <v>1</v>
      </c>
    </row>
  </sheetData>
  <sortState ref="A2:C17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A5" sqref="A5"/>
    </sheetView>
  </sheetViews>
  <sheetFormatPr defaultRowHeight="15"/>
  <cols>
    <col min="1" max="1" width="15.285156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3" customFormat="1">
      <c r="A1" s="19" t="s">
        <v>225</v>
      </c>
      <c r="B1" s="19" t="s">
        <v>210</v>
      </c>
      <c r="C1" s="19" t="s">
        <v>211</v>
      </c>
      <c r="D1" s="19" t="s">
        <v>212</v>
      </c>
      <c r="E1" s="19" t="s">
        <v>26</v>
      </c>
    </row>
    <row r="2" spans="1:5">
      <c r="A2" s="1" t="s">
        <v>187</v>
      </c>
      <c r="B2" s="4" t="s">
        <v>72</v>
      </c>
      <c r="C2" s="4" t="s">
        <v>72</v>
      </c>
      <c r="D2" s="4" t="s">
        <v>72</v>
      </c>
      <c r="E2" s="3">
        <v>43665</v>
      </c>
    </row>
    <row r="3" spans="1:5">
      <c r="A3" s="1" t="s">
        <v>193</v>
      </c>
      <c r="B3" s="4" t="s">
        <v>72</v>
      </c>
      <c r="C3" s="1" t="s">
        <v>187</v>
      </c>
      <c r="D3" s="1" t="s">
        <v>187</v>
      </c>
      <c r="E3" s="3">
        <v>43665</v>
      </c>
    </row>
    <row r="4" spans="1:5">
      <c r="A4" s="1" t="s">
        <v>198</v>
      </c>
      <c r="B4" s="4" t="s">
        <v>72</v>
      </c>
      <c r="C4" s="1" t="s">
        <v>187</v>
      </c>
      <c r="D4" s="4" t="s">
        <v>72</v>
      </c>
      <c r="E4" s="3">
        <v>43665</v>
      </c>
    </row>
    <row r="5" spans="1:5">
      <c r="A5" s="1" t="s">
        <v>203</v>
      </c>
      <c r="B5" s="4" t="s">
        <v>72</v>
      </c>
      <c r="C5" s="1" t="s">
        <v>187</v>
      </c>
      <c r="D5" s="1" t="s">
        <v>198</v>
      </c>
      <c r="E5" s="3">
        <v>43665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A5" sqref="A5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8.2851562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3" customFormat="1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34</v>
      </c>
      <c r="F1" s="17" t="s">
        <v>39</v>
      </c>
      <c r="G1" s="17" t="s">
        <v>62</v>
      </c>
      <c r="H1" s="17" t="s">
        <v>40</v>
      </c>
      <c r="I1" s="17" t="s">
        <v>33</v>
      </c>
      <c r="J1" s="17" t="s">
        <v>41</v>
      </c>
    </row>
    <row r="2" spans="1:10">
      <c r="A2" s="6" t="s">
        <v>109</v>
      </c>
      <c r="B2" t="s">
        <v>105</v>
      </c>
      <c r="C2" s="12" t="s">
        <v>106</v>
      </c>
      <c r="D2" s="12" t="s">
        <v>107</v>
      </c>
      <c r="E2" s="6" t="s">
        <v>110</v>
      </c>
      <c r="F2" s="10" t="str">
        <f t="shared" ref="F2" si="0">CONCATENATE(B2,"/",C2,"/",D2,"/",E2)</f>
        <v>2019-2020/EXPERINCED/JOBOFFER/002</v>
      </c>
      <c r="G2" t="s">
        <v>108</v>
      </c>
      <c r="H2" t="s">
        <v>72</v>
      </c>
      <c r="I2" t="s">
        <v>111</v>
      </c>
      <c r="J2" s="11">
        <v>44034</v>
      </c>
    </row>
    <row r="3" spans="1:10">
      <c r="A3" s="6" t="s">
        <v>216</v>
      </c>
      <c r="B3" t="s">
        <v>105</v>
      </c>
      <c r="C3" s="6" t="s">
        <v>106</v>
      </c>
      <c r="D3" s="6" t="s">
        <v>107</v>
      </c>
      <c r="E3" s="6" t="s">
        <v>217</v>
      </c>
      <c r="F3" s="10" t="str">
        <f>CONCATENATE(B3,"/",C3,"/",D3,"/",E3)</f>
        <v>2019-2020/EXPERINCED/JOBOFFER/001</v>
      </c>
      <c r="G3" t="s">
        <v>108</v>
      </c>
      <c r="H3" t="s">
        <v>187</v>
      </c>
      <c r="I3" t="s">
        <v>218</v>
      </c>
      <c r="J3" s="11">
        <v>44034</v>
      </c>
    </row>
    <row r="4" spans="1:10">
      <c r="A4" s="6" t="s">
        <v>219</v>
      </c>
      <c r="B4" t="s">
        <v>105</v>
      </c>
      <c r="C4" s="6" t="s">
        <v>106</v>
      </c>
      <c r="D4" s="6" t="s">
        <v>220</v>
      </c>
      <c r="E4" s="6" t="s">
        <v>217</v>
      </c>
      <c r="F4" s="10" t="str">
        <f t="shared" ref="F4" si="1">CONCATENATE(B4,"/",C4,"/",D4,"/",E4)</f>
        <v>2019-2020/EXPERINCED/APPOINTMENT/001</v>
      </c>
      <c r="G4" t="s">
        <v>108</v>
      </c>
      <c r="H4" t="s">
        <v>187</v>
      </c>
      <c r="I4" t="s">
        <v>221</v>
      </c>
      <c r="J4" s="11">
        <v>44034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5" sqref="A5"/>
    </sheetView>
  </sheetViews>
  <sheetFormatPr defaultRowHeight="15"/>
  <cols>
    <col min="1" max="1" width="13.28515625" bestFit="1" customWidth="1"/>
    <col min="2" max="2" width="23.42578125" bestFit="1" customWidth="1"/>
    <col min="3" max="3" width="11.85546875" bestFit="1" customWidth="1"/>
    <col min="5" max="16384" width="9.140625" style="1"/>
  </cols>
  <sheetData>
    <row r="1" spans="1:4" s="23" customFormat="1">
      <c r="A1" s="15" t="s">
        <v>0</v>
      </c>
      <c r="B1" s="15" t="s">
        <v>42</v>
      </c>
      <c r="C1" s="15" t="s">
        <v>119</v>
      </c>
      <c r="D1" s="15" t="s">
        <v>120</v>
      </c>
    </row>
    <row r="2" spans="1:4">
      <c r="A2" t="s">
        <v>72</v>
      </c>
      <c r="B2" t="s">
        <v>80</v>
      </c>
      <c r="C2" s="7">
        <v>43678</v>
      </c>
    </row>
    <row r="3" spans="1:4">
      <c r="A3" t="s">
        <v>72</v>
      </c>
      <c r="B3" s="13" t="s">
        <v>112</v>
      </c>
      <c r="C3" s="7">
        <v>43678</v>
      </c>
    </row>
    <row r="4" spans="1:4">
      <c r="A4" t="s">
        <v>72</v>
      </c>
      <c r="B4" t="s">
        <v>121</v>
      </c>
      <c r="C4" s="7">
        <v>43678</v>
      </c>
    </row>
    <row r="5" spans="1:4">
      <c r="A5" t="s">
        <v>72</v>
      </c>
      <c r="B5" t="s">
        <v>122</v>
      </c>
      <c r="C5" s="7">
        <v>43678</v>
      </c>
    </row>
    <row r="6" spans="1:4">
      <c r="A6" t="s">
        <v>72</v>
      </c>
      <c r="B6" s="13" t="s">
        <v>123</v>
      </c>
      <c r="C6" s="7">
        <v>43678</v>
      </c>
    </row>
    <row r="7" spans="1:4">
      <c r="A7" t="s">
        <v>72</v>
      </c>
      <c r="B7" t="s">
        <v>80</v>
      </c>
      <c r="C7" s="7">
        <v>43678</v>
      </c>
    </row>
    <row r="8" spans="1:4">
      <c r="A8" t="s">
        <v>187</v>
      </c>
      <c r="B8" t="s">
        <v>213</v>
      </c>
      <c r="C8" s="7">
        <v>43678</v>
      </c>
    </row>
    <row r="9" spans="1:4">
      <c r="A9" t="s">
        <v>187</v>
      </c>
      <c r="B9" t="s">
        <v>222</v>
      </c>
      <c r="C9" s="7">
        <v>43678</v>
      </c>
    </row>
    <row r="10" spans="1:4">
      <c r="A10" t="s">
        <v>193</v>
      </c>
      <c r="B10" t="s">
        <v>113</v>
      </c>
      <c r="C10" s="7">
        <v>43678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selection activeCell="A5" sqref="A5"/>
    </sheetView>
  </sheetViews>
  <sheetFormatPr defaultRowHeight="15"/>
  <cols>
    <col min="1" max="1" width="13.28515625" bestFit="1" customWidth="1"/>
    <col min="2" max="2" width="21.140625" bestFit="1" customWidth="1"/>
    <col min="3" max="3" width="11.85546875" bestFit="1" customWidth="1"/>
    <col min="5" max="16384" width="9.140625" style="1"/>
  </cols>
  <sheetData>
    <row r="1" spans="1:4" s="23" customFormat="1">
      <c r="A1" s="15" t="s">
        <v>0</v>
      </c>
      <c r="B1" s="15" t="s">
        <v>124</v>
      </c>
      <c r="C1" s="15" t="s">
        <v>119</v>
      </c>
      <c r="D1" s="15" t="s">
        <v>120</v>
      </c>
    </row>
    <row r="2" spans="1:4">
      <c r="A2" t="s">
        <v>72</v>
      </c>
      <c r="B2" t="s">
        <v>80</v>
      </c>
      <c r="C2" s="7">
        <v>43678</v>
      </c>
    </row>
    <row r="3" spans="1:4">
      <c r="A3" t="s">
        <v>72</v>
      </c>
      <c r="B3" t="s">
        <v>125</v>
      </c>
      <c r="C3" s="7">
        <v>43678</v>
      </c>
    </row>
    <row r="4" spans="1:4">
      <c r="A4" t="s">
        <v>72</v>
      </c>
      <c r="B4" t="s">
        <v>126</v>
      </c>
      <c r="C4" s="7">
        <v>43678</v>
      </c>
    </row>
    <row r="5" spans="1:4">
      <c r="A5" t="s">
        <v>72</v>
      </c>
      <c r="B5" t="s">
        <v>127</v>
      </c>
      <c r="C5" s="7">
        <v>43678</v>
      </c>
    </row>
    <row r="6" spans="1:4">
      <c r="A6" t="s">
        <v>72</v>
      </c>
      <c r="B6" t="s">
        <v>113</v>
      </c>
      <c r="C6" s="7">
        <v>43678</v>
      </c>
    </row>
    <row r="7" spans="1:4">
      <c r="A7" t="s">
        <v>72</v>
      </c>
      <c r="B7" t="s">
        <v>128</v>
      </c>
      <c r="C7" s="7">
        <v>43678</v>
      </c>
    </row>
    <row r="8" spans="1:4">
      <c r="A8" t="s">
        <v>72</v>
      </c>
      <c r="B8" t="s">
        <v>129</v>
      </c>
      <c r="C8" s="7">
        <v>43678</v>
      </c>
    </row>
    <row r="9" spans="1:4">
      <c r="A9" t="s">
        <v>72</v>
      </c>
      <c r="B9" t="s">
        <v>130</v>
      </c>
      <c r="C9" s="7">
        <v>43678</v>
      </c>
    </row>
    <row r="10" spans="1:4">
      <c r="A10" t="s">
        <v>72</v>
      </c>
      <c r="B10" t="s">
        <v>114</v>
      </c>
      <c r="C10" s="7">
        <v>43678</v>
      </c>
    </row>
    <row r="11" spans="1:4">
      <c r="A11" t="s">
        <v>72</v>
      </c>
      <c r="B11" t="s">
        <v>131</v>
      </c>
      <c r="C11" s="7">
        <v>43678</v>
      </c>
    </row>
    <row r="12" spans="1:4">
      <c r="A12" t="s">
        <v>72</v>
      </c>
      <c r="B12" t="s">
        <v>132</v>
      </c>
      <c r="C12" s="7">
        <v>43678</v>
      </c>
    </row>
    <row r="13" spans="1:4">
      <c r="A13" t="s">
        <v>72</v>
      </c>
      <c r="B13" t="s">
        <v>133</v>
      </c>
      <c r="C13" s="7">
        <v>43678</v>
      </c>
    </row>
    <row r="14" spans="1:4">
      <c r="A14" t="s">
        <v>72</v>
      </c>
      <c r="B14" t="s">
        <v>134</v>
      </c>
      <c r="C14" s="7">
        <v>43678</v>
      </c>
    </row>
    <row r="15" spans="1:4">
      <c r="A15" t="s">
        <v>72</v>
      </c>
      <c r="B15" t="s">
        <v>135</v>
      </c>
      <c r="C15" s="7">
        <v>43678</v>
      </c>
    </row>
    <row r="16" spans="1:4">
      <c r="A16" t="s">
        <v>72</v>
      </c>
      <c r="B16" t="s">
        <v>136</v>
      </c>
      <c r="C16" s="7">
        <v>43678</v>
      </c>
    </row>
    <row r="17" spans="1:3">
      <c r="A17" t="s">
        <v>72</v>
      </c>
      <c r="B17" t="s">
        <v>137</v>
      </c>
      <c r="C17" s="7">
        <v>43678</v>
      </c>
    </row>
    <row r="18" spans="1:3">
      <c r="A18" t="s">
        <v>72</v>
      </c>
      <c r="B18" t="s">
        <v>138</v>
      </c>
      <c r="C18" s="7">
        <v>43678</v>
      </c>
    </row>
    <row r="19" spans="1:3">
      <c r="A19" t="s">
        <v>72</v>
      </c>
      <c r="B19" t="s">
        <v>139</v>
      </c>
      <c r="C19" s="7">
        <v>43678</v>
      </c>
    </row>
    <row r="20" spans="1:3">
      <c r="A20" t="s">
        <v>72</v>
      </c>
      <c r="B20" t="s">
        <v>140</v>
      </c>
      <c r="C20" s="7">
        <v>43678</v>
      </c>
    </row>
    <row r="21" spans="1:3">
      <c r="A21" t="s">
        <v>72</v>
      </c>
      <c r="B21" t="s">
        <v>141</v>
      </c>
      <c r="C21" s="7">
        <v>43678</v>
      </c>
    </row>
    <row r="22" spans="1:3">
      <c r="A22" t="s">
        <v>72</v>
      </c>
      <c r="B22" t="s">
        <v>142</v>
      </c>
      <c r="C22" s="7">
        <v>43678</v>
      </c>
    </row>
    <row r="23" spans="1:3">
      <c r="A23" t="s">
        <v>72</v>
      </c>
      <c r="B23" t="s">
        <v>79</v>
      </c>
      <c r="C23" s="7">
        <v>43678</v>
      </c>
    </row>
    <row r="24" spans="1:3">
      <c r="A24" t="s">
        <v>72</v>
      </c>
      <c r="B24" t="s">
        <v>143</v>
      </c>
      <c r="C24" s="7">
        <v>43678</v>
      </c>
    </row>
    <row r="25" spans="1:3">
      <c r="A25" t="s">
        <v>72</v>
      </c>
      <c r="B25" t="s">
        <v>144</v>
      </c>
      <c r="C25" s="7">
        <v>43678</v>
      </c>
    </row>
    <row r="26" spans="1:3">
      <c r="A26" t="s">
        <v>72</v>
      </c>
      <c r="B26" t="s">
        <v>145</v>
      </c>
      <c r="C26" s="7">
        <v>43678</v>
      </c>
    </row>
    <row r="27" spans="1:3">
      <c r="A27" t="s">
        <v>72</v>
      </c>
      <c r="B27" t="s">
        <v>146</v>
      </c>
      <c r="C27" s="7">
        <v>43678</v>
      </c>
    </row>
    <row r="28" spans="1:3">
      <c r="A28" t="s">
        <v>72</v>
      </c>
      <c r="B28" t="s">
        <v>147</v>
      </c>
      <c r="C28" s="7">
        <v>43678</v>
      </c>
    </row>
    <row r="29" spans="1:3">
      <c r="A29" t="s">
        <v>72</v>
      </c>
      <c r="B29" t="s">
        <v>148</v>
      </c>
      <c r="C29" s="7">
        <v>43678</v>
      </c>
    </row>
    <row r="30" spans="1:3">
      <c r="A30" t="s">
        <v>193</v>
      </c>
      <c r="B30" t="s">
        <v>196</v>
      </c>
      <c r="C30" s="7">
        <v>43678</v>
      </c>
    </row>
    <row r="31" spans="1:3">
      <c r="A31" t="s">
        <v>187</v>
      </c>
      <c r="B31" t="s">
        <v>214</v>
      </c>
      <c r="C31" s="7">
        <v>43678</v>
      </c>
    </row>
    <row r="32" spans="1:3">
      <c r="A32" t="s">
        <v>187</v>
      </c>
      <c r="B32" t="s">
        <v>191</v>
      </c>
      <c r="C32" s="7">
        <v>43678</v>
      </c>
    </row>
    <row r="33" spans="1:3">
      <c r="A33" t="s">
        <v>187</v>
      </c>
      <c r="B33" t="s">
        <v>222</v>
      </c>
      <c r="C33" s="7">
        <v>43678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AllSheet</vt:lpstr>
      <vt:lpstr>08_EntityComplianceSettings</vt:lpstr>
      <vt:lpstr>09_WorkmanDefaultSettings</vt:lpstr>
      <vt:lpstr>01_Workman</vt:lpstr>
      <vt:lpstr>03_EmailAddressInfo</vt:lpstr>
      <vt:lpstr>04_PhoneNumberInfo</vt:lpstr>
      <vt:lpstr>06_AddressInfo</vt:lpstr>
      <vt:lpstr>07_AcademicHistory</vt:lpstr>
      <vt:lpstr>14_BankAccountDetails</vt:lpstr>
      <vt:lpstr>22_WorkmanDepartment</vt:lpstr>
      <vt:lpstr>23_WorkmanDivision</vt:lpstr>
      <vt:lpstr>26_UserRolePrivileges</vt:lpstr>
      <vt:lpstr>16_WorkmanSuperVision</vt:lpstr>
      <vt:lpstr>99_LetterPadMaster</vt:lpstr>
      <vt:lpstr>06_DepartmentHOD</vt:lpstr>
      <vt:lpstr>08_DivisionHOD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nirbhay.m.zala</cp:lastModifiedBy>
  <dcterms:created xsi:type="dcterms:W3CDTF">2023-07-01T12:51:00Z</dcterms:created>
  <dcterms:modified xsi:type="dcterms:W3CDTF">2025-12-09T09:58:26Z</dcterms:modified>
</cp:coreProperties>
</file>