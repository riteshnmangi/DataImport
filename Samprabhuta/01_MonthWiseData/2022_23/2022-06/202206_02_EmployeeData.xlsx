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87" activeTab="1"/>
  </bookViews>
  <sheets>
    <sheet name="AllSheet" sheetId="36" r:id="rId1"/>
    <sheet name="01_CandidateToWorkman" sheetId="14" r:id="rId2"/>
    <sheet name="14_BankAccountDetails" sheetId="26" r:id="rId3"/>
    <sheet name="15_ChequeInfo" sheetId="5" r:id="rId4"/>
    <sheet name="16_WorkmanSuperVision" sheetId="6" r:id="rId5"/>
    <sheet name="18_WorkmanVehicleInfo" sheetId="28" r:id="rId6"/>
    <sheet name="21_WorkmanFamilyInfo" sheetId="29" r:id="rId7"/>
    <sheet name="22_WorkmanDepartment" sheetId="30" r:id="rId8"/>
    <sheet name="23_WorkmanDivision" sheetId="35" r:id="rId9"/>
    <sheet name="24_ProjectAssignments" sheetId="31" r:id="rId10"/>
    <sheet name="25_TaskAssignment" sheetId="32" r:id="rId11"/>
    <sheet name="26_UserRolePrivileges" sheetId="33" r:id="rId12"/>
    <sheet name="27_PFAndESI" sheetId="34" r:id="rId13"/>
    <sheet name="99_LetterPadMaster" sheetId="9" r:id="rId14"/>
  </sheets>
  <definedNames>
    <definedName name="_xlnm._FilterDatabase" localSheetId="1" hidden="1">'01_CandidateToWorkman'!$A$1:$O$4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10" i="9"/>
  <c r="F9"/>
  <c r="F8"/>
  <c r="F7"/>
  <c r="F2"/>
  <c r="F3"/>
  <c r="F4"/>
  <c r="F5"/>
  <c r="F6"/>
</calcChain>
</file>

<file path=xl/sharedStrings.xml><?xml version="1.0" encoding="utf-8"?>
<sst xmlns="http://schemas.openxmlformats.org/spreadsheetml/2006/main" count="319" uniqueCount="189">
  <si>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</si>
  <si>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</si>
  <si>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</si>
  <si>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</si>
  <si>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</si>
  <si>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</si>
  <si>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</si>
  <si>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</si>
  <si>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</si>
  <si>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</si>
  <si>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</si>
  <si>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</si>
  <si>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</si>
  <si>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</si>
  <si>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</si>
  <si>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</si>
  <si>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</si>
  <si>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</si>
  <si>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</si>
  <si>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</si>
  <si>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</si>
  <si>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</si>
  <si>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TRN000018</t>
  </si>
  <si>
    <t>TRN000017</t>
  </si>
  <si>
    <t>Done.</t>
  </si>
  <si>
    <t>Under Custody</t>
  </si>
  <si>
    <t>621902010014328</t>
  </si>
  <si>
    <t>178100100000039</t>
  </si>
  <si>
    <t>FFM000003</t>
  </si>
  <si>
    <t>FFM000002</t>
  </si>
  <si>
    <t>FFM000004</t>
  </si>
  <si>
    <t>SOAR00005</t>
  </si>
  <si>
    <t>Adit Mileshkumar Shah Full &amp; Final Statement</t>
  </si>
  <si>
    <t>Employee</t>
  </si>
  <si>
    <t>001</t>
  </si>
  <si>
    <t>FFS</t>
  </si>
  <si>
    <t>EXPERINCED</t>
  </si>
  <si>
    <t>2022-2023</t>
  </si>
  <si>
    <t>000069</t>
  </si>
  <si>
    <t>Adit Mileshkumar Shah Salary Statement</t>
  </si>
  <si>
    <t>SALSTMT</t>
  </si>
  <si>
    <t>000068</t>
  </si>
  <si>
    <t>Adit Mileshkumar Shah EXPLETTER Letter</t>
  </si>
  <si>
    <t>EXPLETTER</t>
  </si>
  <si>
    <t>000067</t>
  </si>
  <si>
    <t>Adit Mileshkumar Shah Relieving and No Due Certificate</t>
  </si>
  <si>
    <t>RELNDC</t>
  </si>
  <si>
    <t>000066</t>
  </si>
  <si>
    <t>Dhruval Bhagvanjibhai Sidapara Appriasal Letter</t>
  </si>
  <si>
    <t>SOAR00008</t>
  </si>
  <si>
    <t>000065</t>
  </si>
  <si>
    <t>000072</t>
  </si>
  <si>
    <t>TRAINEE</t>
  </si>
  <si>
    <t>TRAININGINVITE</t>
  </si>
  <si>
    <t>Trainee</t>
  </si>
  <si>
    <t>Karan Hiteshbhai Dave - Trainee Invite</t>
  </si>
  <si>
    <t>000073</t>
  </si>
  <si>
    <t>STIPEND</t>
  </si>
  <si>
    <t>Karan Hiteshbhai Dave - Stipend Letter</t>
  </si>
  <si>
    <t>000074</t>
  </si>
  <si>
    <t>002</t>
  </si>
  <si>
    <t>Krutik Ghanshyambhai Velani - Trainee Invite</t>
  </si>
  <si>
    <t>000075</t>
  </si>
  <si>
    <t>Krutik Ghanshyambhai Velani - Stipend Letter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</si>
  <si>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</si>
  <si>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</si>
  <si>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</si>
  <si>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</si>
  <si>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</si>
  <si>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</si>
  <si>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</si>
  <si>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</si>
  <si>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</si>
  <si>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</si>
  <si>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</si>
  <si>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</si>
  <si>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</si>
  <si>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Hiteshbhai</t>
  </si>
  <si>
    <t>Dave</t>
  </si>
  <si>
    <t>Intern</t>
  </si>
  <si>
    <t>.Net-Angular-SQL</t>
  </si>
  <si>
    <t>Dineshkumar</t>
  </si>
  <si>
    <t>Mandora</t>
  </si>
  <si>
    <t>Ghanshyambhai</t>
  </si>
  <si>
    <t>Velani</t>
  </si>
  <si>
    <t>BankName</t>
  </si>
  <si>
    <t>BranchName</t>
  </si>
  <si>
    <t>AccountType</t>
  </si>
  <si>
    <t>UPIId</t>
  </si>
  <si>
    <t>State Bank Of India</t>
  </si>
  <si>
    <t>UNIVERSITY CAMPUS AREA</t>
  </si>
  <si>
    <t>Saving</t>
  </si>
  <si>
    <t>20274419984@oktest</t>
  </si>
  <si>
    <t>Punjab National Bank</t>
  </si>
  <si>
    <t>SG ROAD</t>
  </si>
  <si>
    <t>178100100000039@oktest</t>
  </si>
  <si>
    <t>Union Bank Of India</t>
  </si>
  <si>
    <t>NIKOL</t>
  </si>
  <si>
    <t>621902010014328@oktest</t>
  </si>
  <si>
    <t>VehicleNumberPlate</t>
  </si>
  <si>
    <t>VehicleTypeName</t>
  </si>
  <si>
    <t>GJ01TRN000017</t>
  </si>
  <si>
    <t>Two Wheeler</t>
  </si>
  <si>
    <t>GJ01TRN000018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</si>
  <si>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</si>
  <si>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</si>
  <si>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</si>
  <si>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</si>
  <si>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</si>
  <si>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</si>
  <si>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</si>
  <si>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</si>
  <si>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</si>
  <si>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</si>
  <si>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</si>
  <si>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</si>
  <si>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G.FatherTRN000017</t>
  </si>
  <si>
    <t>HiteshbhaiDave@gmail.com</t>
  </si>
  <si>
    <t>YES</t>
  </si>
  <si>
    <t>Father</t>
  </si>
  <si>
    <t>G.FatherTRN000018</t>
  </si>
  <si>
    <t>DineshkumarMandora@gmail.com</t>
  </si>
  <si>
    <t>GhanshyambhaiVelani@gmail.com</t>
  </si>
  <si>
    <t>DepartmentName</t>
  </si>
  <si>
    <t>DepartmentJoiningDate</t>
  </si>
  <si>
    <t>RelievingDate</t>
  </si>
  <si>
    <t>Full Stack Development</t>
  </si>
  <si>
    <t>ProjectName</t>
  </si>
  <si>
    <t>Sarvadhan Savardhan</t>
  </si>
  <si>
    <t>Sahashtra</t>
  </si>
  <si>
    <t>Sanatan Sarthi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</si>
  <si>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</si>
  <si>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</si>
  <si>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</si>
  <si>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</si>
  <si>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</si>
  <si>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</si>
  <si>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</si>
  <si>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UANTRN000017</t>
  </si>
  <si>
    <t>PFTRN000017</t>
  </si>
  <si>
    <t>PNTRN000017</t>
  </si>
  <si>
    <t>ESITRN000017</t>
  </si>
  <si>
    <t>UANTRN000018</t>
  </si>
  <si>
    <t>PFTRN000018</t>
  </si>
  <si>
    <t>PNTRN000018</t>
  </si>
  <si>
    <t>ESITRN000018</t>
  </si>
  <si>
    <t>SalaryRevisionType</t>
  </si>
  <si>
    <t>TRN000017@gmail.com</t>
  </si>
  <si>
    <t>TRN000018@gmail.com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</si>
  <si>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</si>
  <si>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</si>
  <si>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</si>
  <si>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</si>
  <si>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</si>
  <si>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</si>
  <si>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</si>
  <si>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</si>
  <si>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</si>
  <si>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</si>
  <si>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</si>
  <si>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</si>
  <si>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</si>
  <si>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</si>
  <si>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</si>
  <si>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</si>
  <si>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29_EmpSeparation</t>
  </si>
  <si>
    <t>30_EmpSeparationReason</t>
  </si>
  <si>
    <t>31_EmpSeparationResolution</t>
  </si>
  <si>
    <t>32_EmpSeparationStatus</t>
  </si>
  <si>
    <t>99_LetterPadMaster</t>
  </si>
  <si>
    <t>TRN000019</t>
  </si>
  <si>
    <t>GJ01TRN000019</t>
  </si>
  <si>
    <t>G.FatherTRN000019</t>
  </si>
  <si>
    <t>UANTRN000019</t>
  </si>
  <si>
    <t>PFTRN000019</t>
  </si>
  <si>
    <t>PNTRN000019</t>
  </si>
  <si>
    <t>ESITRN000019</t>
  </si>
  <si>
    <t>SOAR00014@gmail.com</t>
  </si>
  <si>
    <t>APPRIASAL</t>
  </si>
  <si>
    <t>LineManagerName</t>
  </si>
  <si>
    <t>HRMName</t>
  </si>
  <si>
    <t>HRBPName</t>
  </si>
  <si>
    <t>WorkmanType</t>
  </si>
  <si>
    <t>WorkmanName</t>
  </si>
  <si>
    <t>WorkmanCode</t>
  </si>
  <si>
    <t>20274419984</t>
  </si>
  <si>
    <t>RoleName</t>
  </si>
  <si>
    <t>26_UserWiseRoleAccess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</si>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</sst>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yyyy\-mm\-dd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5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166" fontId="0" fillId="0" borderId="0" xfId="0" applyNumberFormat="1" applyFont="1"/>
    <xf numFmtId="0" fontId="0" fillId="0" borderId="0" xfId="0" applyFill="1" applyBorder="1"/>
    <xf numFmtId="0" fontId="0" fillId="0" borderId="0" xfId="0" applyFont="1"/>
    <xf numFmtId="0" fontId="0" fillId="0" borderId="0" xfId="0" quotePrefix="1"/>
    <xf numFmtId="0" fontId="0" fillId="0" borderId="0" xfId="0" applyFont="1" applyFill="1" applyBorder="1"/>
    <xf numFmtId="0" fontId="2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3" fillId="0" borderId="0" xfId="0" applyFont="1"/>
    <xf numFmtId="0" fontId="2" fillId="0" borderId="0" xfId="1" applyAlignment="1" applyProtection="1"/>
    <xf numFmtId="0" fontId="5" fillId="2" borderId="1" xfId="0" applyFont="1" applyFill="1" applyBorder="1"/>
    <xf numFmtId="0" fontId="6" fillId="2" borderId="0" xfId="0" applyFont="1" applyFill="1"/>
    <xf numFmtId="0" fontId="5" fillId="2" borderId="0" xfId="0" applyFont="1" applyFill="1" applyAlignment="1">
      <alignment horizontal="left" vertical="top"/>
    </xf>
    <xf numFmtId="0" fontId="5" fillId="2" borderId="0" xfId="0" applyFont="1" applyFill="1"/>
    <xf numFmtId="0" fontId="5" fillId="2" borderId="0" xfId="0" quotePrefix="1" applyFont="1" applyFill="1" applyAlignment="1">
      <alignment horizontal="left" vertical="top"/>
    </xf>
    <xf numFmtId="0" fontId="6" fillId="0" borderId="0" xfId="0" applyFont="1" applyFill="1"/>
    <xf numFmtId="0" fontId="5" fillId="0" borderId="0" xfId="0" applyFont="1" applyFill="1"/>
    <xf numFmtId="0" fontId="1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kruitk51@gmail.com" TargetMode="External"/><Relationship Id="rId2" Type="http://schemas.openxmlformats.org/officeDocument/2006/relationships/hyperlink" Target="mailto:TRN000018@gmail.com" TargetMode="External"/><Relationship Id="rId1" Type="http://schemas.openxmlformats.org/officeDocument/2006/relationships/hyperlink" Target="mailto:TRN000017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621902010014328@oktest" TargetMode="External"/><Relationship Id="rId2" Type="http://schemas.openxmlformats.org/officeDocument/2006/relationships/hyperlink" Target="mailto:178100100000039@oktest" TargetMode="External"/><Relationship Id="rId1" Type="http://schemas.openxmlformats.org/officeDocument/2006/relationships/hyperlink" Target="mailto:20274419984@oktest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GhanshyambhaiVelani@gmail.com" TargetMode="External"/><Relationship Id="rId2" Type="http://schemas.openxmlformats.org/officeDocument/2006/relationships/hyperlink" Target="mailto:DineshkumarMandora@gmail.com" TargetMode="External"/><Relationship Id="rId1" Type="http://schemas.openxmlformats.org/officeDocument/2006/relationships/hyperlink" Target="mailto:HiteshbhaiDave@gmail.com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A18" sqref="A18"/>
    </sheetView>
  </sheetViews>
  <sheetFormatPr defaultRowHeight="15"/>
  <cols>
    <col min="1" max="1" width="11.85546875" bestFit="1" customWidth="1"/>
    <col min="2" max="16384" width="9.140625" style="1"/>
  </cols>
  <sheetData>
    <row r="1" spans="1:1" s="22" customFormat="1">
      <c r="A1" s="20" t="s">
        <v>153</v>
      </c>
    </row>
    <row r="2" spans="1:1">
      <c r="A2" s="16" t="s">
        <v>154</v>
      </c>
    </row>
    <row r="3" spans="1:1">
      <c r="A3" s="16" t="s">
        <v>155</v>
      </c>
    </row>
    <row r="4" spans="1:1">
      <c r="A4" s="16" t="s">
        <v>156</v>
      </c>
    </row>
    <row r="5" spans="1:1">
      <c r="A5" s="16" t="s">
        <v>157</v>
      </c>
    </row>
    <row r="6" spans="1:1">
      <c r="A6" s="16" t="s">
        <v>158</v>
      </c>
    </row>
    <row r="7" spans="1:1">
      <c r="A7" s="16" t="s">
        <v>159</v>
      </c>
    </row>
    <row r="8" spans="1:1">
      <c r="A8" s="16" t="s">
        <v>160</v>
      </c>
    </row>
    <row r="9" spans="1:1">
      <c r="A9" s="16" t="s">
        <v>161</v>
      </c>
    </row>
    <row r="10" spans="1:1">
      <c r="A10" s="16" t="s">
        <v>162</v>
      </c>
    </row>
    <row r="11" spans="1:1">
      <c r="A11" s="16" t="s">
        <v>163</v>
      </c>
    </row>
    <row r="12" spans="1:1">
      <c r="A12" s="16" t="s">
        <v>187</v>
      </c>
    </row>
    <row r="13" spans="1:1">
      <c r="A13" s="16" t="s">
        <v>164</v>
      </c>
    </row>
    <row r="14" spans="1:1">
      <c r="A14" s="16" t="s">
        <v>165</v>
      </c>
    </row>
    <row r="15" spans="1:1">
      <c r="A15" s="16" t="s">
        <v>166</v>
      </c>
    </row>
    <row r="16" spans="1:1">
      <c r="A16" s="16" t="s">
        <v>167</v>
      </c>
    </row>
    <row r="17" spans="1:1">
      <c r="A17" s="16" t="s">
        <v>168</v>
      </c>
    </row>
    <row r="18" spans="1:1">
      <c r="A18" s="16" t="s">
        <v>169</v>
      </c>
    </row>
  </sheetData>
  <hyperlinks>
    <hyperlink ref="A18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29_EmpSeparation'!A1" display="29_EmpSeparation"/>
    <hyperlink ref="A15" location="'30_EmpSeparationReason'!A1" display="30_EmpSeparationReason"/>
    <hyperlink ref="A16" location="'31_EmpSeparationResolution'!A1" display="31_EmpSeparationResolution"/>
    <hyperlink ref="A17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24.5703125" style="1" bestFit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22" customFormat="1">
      <c r="A1" s="19" t="s">
        <v>2</v>
      </c>
      <c r="B1" s="19" t="s">
        <v>186</v>
      </c>
      <c r="C1" s="19" t="s">
        <v>67</v>
      </c>
      <c r="D1" s="19" t="s">
        <v>68</v>
      </c>
      <c r="E1" s="19" t="s">
        <v>149</v>
      </c>
      <c r="F1" s="19" t="s">
        <v>69</v>
      </c>
      <c r="G1" s="19" t="s">
        <v>182</v>
      </c>
      <c r="H1" s="19" t="s">
        <v>70</v>
      </c>
      <c r="I1" s="19" t="s">
        <v>71</v>
      </c>
      <c r="J1" s="19" t="s">
        <v>72</v>
      </c>
      <c r="K1" s="19" t="s">
        <v>73</v>
      </c>
      <c r="L1" s="19" t="s">
        <v>74</v>
      </c>
      <c r="M1" s="19" t="s">
        <v>75</v>
      </c>
      <c r="N1" s="20" t="s">
        <v>76</v>
      </c>
      <c r="O1" s="19" t="s">
        <v>188</v>
      </c>
      <c r="P1" s="20" t="s">
        <v>146</v>
      </c>
    </row>
    <row r="2" spans="1:16">
      <c r="A2" s="12" t="s">
        <v>147</v>
      </c>
      <c r="B2" s="4" t="s">
        <v>33</v>
      </c>
      <c r="C2" s="5">
        <v>44718</v>
      </c>
      <c r="D2" s="4"/>
      <c r="F2" s="4">
        <v>150</v>
      </c>
      <c r="G2" s="4" t="s">
        <v>79</v>
      </c>
      <c r="H2" s="4" t="s">
        <v>21</v>
      </c>
      <c r="I2" s="4"/>
      <c r="J2" s="4"/>
      <c r="K2" s="4">
        <v>50000</v>
      </c>
      <c r="L2" s="4">
        <v>25000</v>
      </c>
      <c r="M2" s="4">
        <v>0</v>
      </c>
      <c r="N2" t="s">
        <v>80</v>
      </c>
      <c r="O2">
        <v>28</v>
      </c>
    </row>
    <row r="3" spans="1:16">
      <c r="A3" s="12" t="s">
        <v>148</v>
      </c>
      <c r="B3" s="4" t="s">
        <v>33</v>
      </c>
      <c r="C3" s="5">
        <v>44725</v>
      </c>
      <c r="D3" s="4"/>
      <c r="E3" s="4"/>
      <c r="F3" s="4">
        <v>150</v>
      </c>
      <c r="G3" s="4" t="s">
        <v>79</v>
      </c>
      <c r="H3" s="4" t="s">
        <v>21</v>
      </c>
      <c r="I3" s="4"/>
      <c r="J3" s="4"/>
      <c r="K3" s="4">
        <v>50000</v>
      </c>
      <c r="L3" s="4">
        <v>25000</v>
      </c>
      <c r="M3" s="4">
        <v>0</v>
      </c>
      <c r="N3" t="s">
        <v>80</v>
      </c>
      <c r="O3">
        <v>29</v>
      </c>
    </row>
    <row r="4" spans="1:16">
      <c r="A4" s="12" t="s">
        <v>177</v>
      </c>
      <c r="B4" s="4" t="s">
        <v>33</v>
      </c>
      <c r="C4" s="5">
        <v>44739</v>
      </c>
      <c r="D4" s="5"/>
      <c r="E4" s="4"/>
      <c r="F4" s="4">
        <v>150</v>
      </c>
      <c r="G4" s="4" t="s">
        <v>79</v>
      </c>
      <c r="H4" s="4" t="s">
        <v>21</v>
      </c>
      <c r="I4" s="4"/>
      <c r="J4" s="4"/>
      <c r="K4" s="4">
        <v>50000</v>
      </c>
      <c r="L4" s="4">
        <v>25000</v>
      </c>
      <c r="M4" s="4">
        <v>0</v>
      </c>
      <c r="N4" t="s">
        <v>80</v>
      </c>
      <c r="O4">
        <v>30</v>
      </c>
    </row>
  </sheetData>
  <hyperlinks>
    <hyperlink ref="A2" r:id="rId1"/>
    <hyperlink ref="A3" r:id="rId2"/>
    <hyperlink ref="A4" r:id="rId3" display="vkruitk51@gmail.com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H4" sqref="H4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4" customWidth="1"/>
    <col min="7" max="7" width="15.42578125" customWidth="1"/>
    <col min="8" max="8" width="13.42578125" customWidth="1"/>
    <col min="9" max="16384" width="9.140625" style="1"/>
  </cols>
  <sheetData>
    <row r="1" spans="1:8" s="22" customFormat="1">
      <c r="A1" s="19" t="s">
        <v>2</v>
      </c>
      <c r="B1" s="19" t="s">
        <v>85</v>
      </c>
      <c r="C1" s="19" t="s">
        <v>86</v>
      </c>
      <c r="D1" s="19" t="s">
        <v>87</v>
      </c>
      <c r="E1" s="19" t="s">
        <v>8</v>
      </c>
      <c r="F1" s="21" t="s">
        <v>88</v>
      </c>
      <c r="G1" s="20" t="s">
        <v>10</v>
      </c>
      <c r="H1" s="20" t="s">
        <v>9</v>
      </c>
    </row>
    <row r="2" spans="1:8">
      <c r="A2" s="3" t="s">
        <v>23</v>
      </c>
      <c r="B2" s="1" t="s">
        <v>89</v>
      </c>
      <c r="C2" s="1" t="s">
        <v>90</v>
      </c>
      <c r="D2" s="4" t="s">
        <v>91</v>
      </c>
      <c r="E2" s="4">
        <v>20274419984</v>
      </c>
      <c r="F2" s="12" t="s">
        <v>92</v>
      </c>
      <c r="G2" s="2">
        <v>43705</v>
      </c>
      <c r="H2" s="2"/>
    </row>
    <row r="3" spans="1:8">
      <c r="A3" s="3" t="s">
        <v>22</v>
      </c>
      <c r="B3" s="1" t="s">
        <v>93</v>
      </c>
      <c r="C3" s="4" t="s">
        <v>94</v>
      </c>
      <c r="D3" s="4" t="s">
        <v>91</v>
      </c>
      <c r="E3" s="4" t="s">
        <v>27</v>
      </c>
      <c r="F3" s="12" t="s">
        <v>95</v>
      </c>
      <c r="G3" s="2">
        <v>43706</v>
      </c>
      <c r="H3" s="2"/>
    </row>
    <row r="4" spans="1:8">
      <c r="A4" s="3" t="s">
        <v>170</v>
      </c>
      <c r="B4" s="1" t="s">
        <v>96</v>
      </c>
      <c r="C4" s="1" t="s">
        <v>97</v>
      </c>
      <c r="D4" s="4" t="s">
        <v>91</v>
      </c>
      <c r="E4" s="4" t="s">
        <v>26</v>
      </c>
      <c r="F4" s="12" t="s">
        <v>98</v>
      </c>
      <c r="G4" s="2">
        <v>43707</v>
      </c>
      <c r="H4" s="2"/>
    </row>
  </sheetData>
  <hyperlinks>
    <hyperlink ref="F2" r:id="rId1"/>
    <hyperlink ref="F3" r:id="rId2"/>
    <hyperlink ref="F4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I7" sqref="I7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2" customFormat="1">
      <c r="A1" s="19" t="s">
        <v>2</v>
      </c>
      <c r="B1" s="19" t="s">
        <v>8</v>
      </c>
      <c r="C1" s="20" t="s">
        <v>1</v>
      </c>
      <c r="D1" s="20" t="s">
        <v>0</v>
      </c>
      <c r="E1" s="20" t="s">
        <v>7</v>
      </c>
      <c r="F1" s="20" t="s">
        <v>6</v>
      </c>
      <c r="G1" s="20" t="s">
        <v>5</v>
      </c>
      <c r="H1" s="20" t="s">
        <v>4</v>
      </c>
      <c r="I1" s="20" t="s">
        <v>3</v>
      </c>
    </row>
    <row r="2" spans="1:9">
      <c r="A2" s="3" t="s">
        <v>23</v>
      </c>
      <c r="B2" s="14" t="s">
        <v>185</v>
      </c>
      <c r="C2">
        <v>264655</v>
      </c>
      <c r="D2">
        <v>25000</v>
      </c>
      <c r="E2" t="s">
        <v>25</v>
      </c>
      <c r="F2" s="2">
        <v>44718</v>
      </c>
      <c r="G2" s="2" t="s">
        <v>24</v>
      </c>
    </row>
    <row r="3" spans="1:9">
      <c r="A3" s="3" t="s">
        <v>22</v>
      </c>
      <c r="B3" s="4" t="s">
        <v>27</v>
      </c>
      <c r="C3">
        <v>264655</v>
      </c>
      <c r="D3">
        <v>25000</v>
      </c>
      <c r="E3" t="s">
        <v>25</v>
      </c>
      <c r="F3" s="2">
        <v>44725</v>
      </c>
      <c r="G3" s="2" t="s">
        <v>24</v>
      </c>
    </row>
    <row r="4" spans="1:9">
      <c r="A4" s="3" t="s">
        <v>170</v>
      </c>
      <c r="B4" s="4" t="s">
        <v>26</v>
      </c>
      <c r="C4">
        <v>264655</v>
      </c>
      <c r="D4">
        <v>25000</v>
      </c>
      <c r="E4" t="s">
        <v>25</v>
      </c>
      <c r="F4" s="2">
        <v>44739</v>
      </c>
      <c r="G4" s="2" t="s">
        <v>24</v>
      </c>
    </row>
    <row r="5" spans="1:9">
      <c r="A5" s="3" t="s">
        <v>23</v>
      </c>
      <c r="B5" s="14" t="s">
        <v>185</v>
      </c>
      <c r="C5">
        <v>264555</v>
      </c>
      <c r="D5">
        <v>25000</v>
      </c>
      <c r="E5" t="s">
        <v>25</v>
      </c>
      <c r="F5" s="2">
        <v>44718</v>
      </c>
      <c r="G5" s="2" t="s">
        <v>24</v>
      </c>
    </row>
    <row r="6" spans="1:9">
      <c r="A6" s="3" t="s">
        <v>22</v>
      </c>
      <c r="B6" s="4" t="s">
        <v>27</v>
      </c>
      <c r="C6">
        <v>264555</v>
      </c>
      <c r="D6">
        <v>25000</v>
      </c>
      <c r="E6" t="s">
        <v>25</v>
      </c>
      <c r="F6" s="2">
        <v>44725</v>
      </c>
      <c r="G6" s="2" t="s">
        <v>24</v>
      </c>
    </row>
    <row r="7" spans="1:9">
      <c r="A7" s="3" t="s">
        <v>170</v>
      </c>
      <c r="B7" s="4" t="s">
        <v>26</v>
      </c>
      <c r="C7">
        <v>264555</v>
      </c>
      <c r="D7">
        <v>25000</v>
      </c>
      <c r="E7" t="s">
        <v>25</v>
      </c>
      <c r="F7" s="2">
        <v>44739</v>
      </c>
      <c r="G7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4" sqref="E4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2" customFormat="1">
      <c r="A1" s="19" t="s">
        <v>183</v>
      </c>
      <c r="B1" s="19" t="s">
        <v>179</v>
      </c>
      <c r="C1" s="19" t="s">
        <v>180</v>
      </c>
      <c r="D1" s="19" t="s">
        <v>181</v>
      </c>
      <c r="E1" s="19" t="s">
        <v>10</v>
      </c>
    </row>
    <row r="2" spans="1:5">
      <c r="A2" s="4" t="s">
        <v>23</v>
      </c>
      <c r="B2" s="4" t="s">
        <v>28</v>
      </c>
      <c r="C2" s="4" t="s">
        <v>29</v>
      </c>
      <c r="D2" s="4" t="s">
        <v>30</v>
      </c>
      <c r="E2" s="5">
        <v>44718</v>
      </c>
    </row>
    <row r="3" spans="1:5">
      <c r="A3" s="4" t="s">
        <v>22</v>
      </c>
      <c r="B3" s="4" t="s">
        <v>28</v>
      </c>
      <c r="C3" s="4" t="s">
        <v>29</v>
      </c>
      <c r="D3" s="4" t="s">
        <v>30</v>
      </c>
      <c r="E3" s="5">
        <v>44725</v>
      </c>
    </row>
    <row r="4" spans="1:5">
      <c r="A4" s="4" t="s">
        <v>170</v>
      </c>
      <c r="B4" s="4" t="s">
        <v>28</v>
      </c>
      <c r="C4" s="4" t="s">
        <v>29</v>
      </c>
      <c r="D4" s="4" t="s">
        <v>30</v>
      </c>
      <c r="E4" s="5">
        <v>44739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4" sqref="C4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2" customFormat="1">
      <c r="A1" s="20" t="s">
        <v>2</v>
      </c>
      <c r="B1" s="20" t="s">
        <v>99</v>
      </c>
      <c r="C1" s="20" t="s">
        <v>100</v>
      </c>
    </row>
    <row r="2" spans="1:3">
      <c r="A2" s="4" t="s">
        <v>23</v>
      </c>
      <c r="B2" t="s">
        <v>101</v>
      </c>
      <c r="C2" t="s">
        <v>102</v>
      </c>
    </row>
    <row r="3" spans="1:3">
      <c r="A3" s="4" t="s">
        <v>22</v>
      </c>
      <c r="B3" t="s">
        <v>103</v>
      </c>
      <c r="C3" t="s">
        <v>102</v>
      </c>
    </row>
    <row r="4" spans="1:3">
      <c r="A4" s="4" t="s">
        <v>170</v>
      </c>
      <c r="B4" t="s">
        <v>171</v>
      </c>
      <c r="C4" t="s">
        <v>102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"/>
  <sheetViews>
    <sheetView topLeftCell="F1" workbookViewId="0">
      <selection activeCell="P4" sqref="P4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3" customFormat="1">
      <c r="A1" s="20" t="s">
        <v>184</v>
      </c>
      <c r="B1" s="20" t="s">
        <v>64</v>
      </c>
      <c r="C1" s="20" t="s">
        <v>65</v>
      </c>
      <c r="D1" s="20" t="s">
        <v>66</v>
      </c>
      <c r="E1" s="20" t="s">
        <v>104</v>
      </c>
      <c r="F1" s="20" t="s">
        <v>105</v>
      </c>
      <c r="G1" s="20" t="s">
        <v>106</v>
      </c>
      <c r="H1" s="20" t="s">
        <v>107</v>
      </c>
      <c r="I1" s="20" t="s">
        <v>108</v>
      </c>
      <c r="J1" s="20" t="s">
        <v>109</v>
      </c>
      <c r="K1" s="20" t="s">
        <v>110</v>
      </c>
      <c r="L1" s="20" t="s">
        <v>111</v>
      </c>
      <c r="M1" s="20" t="s">
        <v>112</v>
      </c>
      <c r="N1" s="20" t="s">
        <v>113</v>
      </c>
      <c r="O1" s="20" t="s">
        <v>114</v>
      </c>
      <c r="P1" s="20" t="s">
        <v>115</v>
      </c>
    </row>
    <row r="2" spans="1:16">
      <c r="A2" s="4" t="s">
        <v>23</v>
      </c>
      <c r="B2" s="4" t="s">
        <v>77</v>
      </c>
      <c r="C2" s="15" t="s">
        <v>116</v>
      </c>
      <c r="D2" s="4" t="s">
        <v>78</v>
      </c>
      <c r="E2" t="b">
        <v>0</v>
      </c>
      <c r="F2" t="b">
        <v>0</v>
      </c>
      <c r="G2" s="3">
        <v>9265300915</v>
      </c>
      <c r="H2" s="16" t="s">
        <v>117</v>
      </c>
      <c r="J2" s="3" t="s">
        <v>118</v>
      </c>
      <c r="K2" t="b">
        <v>1</v>
      </c>
      <c r="L2">
        <v>10</v>
      </c>
      <c r="M2" t="b">
        <v>0</v>
      </c>
      <c r="N2" t="s">
        <v>119</v>
      </c>
      <c r="O2" s="2">
        <v>27778</v>
      </c>
      <c r="P2" s="6">
        <v>744778098667</v>
      </c>
    </row>
    <row r="3" spans="1:16">
      <c r="A3" s="4" t="s">
        <v>22</v>
      </c>
      <c r="B3" s="4" t="s">
        <v>81</v>
      </c>
      <c r="C3" s="15" t="s">
        <v>120</v>
      </c>
      <c r="D3" s="4" t="s">
        <v>82</v>
      </c>
      <c r="E3" t="b">
        <v>0</v>
      </c>
      <c r="F3" t="b">
        <v>0</v>
      </c>
      <c r="G3" s="3">
        <v>9265300916</v>
      </c>
      <c r="H3" s="16" t="s">
        <v>121</v>
      </c>
      <c r="J3" s="3" t="s">
        <v>118</v>
      </c>
      <c r="K3" t="b">
        <v>1</v>
      </c>
      <c r="L3">
        <v>10</v>
      </c>
      <c r="M3" t="b">
        <v>0</v>
      </c>
      <c r="N3" t="s">
        <v>119</v>
      </c>
      <c r="O3" s="2">
        <v>27779</v>
      </c>
      <c r="P3" s="6">
        <v>744778098668</v>
      </c>
    </row>
    <row r="4" spans="1:16">
      <c r="A4" s="4" t="s">
        <v>170</v>
      </c>
      <c r="B4" s="4" t="s">
        <v>83</v>
      </c>
      <c r="C4" s="15" t="s">
        <v>172</v>
      </c>
      <c r="D4" s="4" t="s">
        <v>84</v>
      </c>
      <c r="E4" t="b">
        <v>0</v>
      </c>
      <c r="F4" t="b">
        <v>0</v>
      </c>
      <c r="G4" s="3">
        <v>9265300917</v>
      </c>
      <c r="H4" s="16" t="s">
        <v>122</v>
      </c>
      <c r="J4" s="3" t="s">
        <v>118</v>
      </c>
      <c r="K4" t="b">
        <v>1</v>
      </c>
      <c r="L4">
        <v>10</v>
      </c>
      <c r="M4" t="b">
        <v>0</v>
      </c>
      <c r="N4" t="s">
        <v>119</v>
      </c>
      <c r="O4" s="2">
        <v>27780</v>
      </c>
      <c r="P4" s="6">
        <v>744778098669</v>
      </c>
    </row>
  </sheetData>
  <hyperlinks>
    <hyperlink ref="H2" r:id="rId1"/>
    <hyperlink ref="H3" r:id="rId2"/>
    <hyperlink ref="H4" r:id="rId3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2" customFormat="1">
      <c r="A1" s="20" t="s">
        <v>2</v>
      </c>
      <c r="B1" s="20" t="s">
        <v>123</v>
      </c>
      <c r="C1" s="20" t="s">
        <v>124</v>
      </c>
      <c r="D1" s="20" t="s">
        <v>125</v>
      </c>
    </row>
    <row r="2" spans="1:4">
      <c r="A2" s="4" t="s">
        <v>23</v>
      </c>
      <c r="B2" t="s">
        <v>126</v>
      </c>
      <c r="C2" s="13">
        <v>44718</v>
      </c>
      <c r="D2" s="13"/>
    </row>
    <row r="3" spans="1:4">
      <c r="A3" s="4" t="s">
        <v>22</v>
      </c>
      <c r="B3" t="s">
        <v>126</v>
      </c>
      <c r="C3" s="13">
        <v>44725</v>
      </c>
      <c r="D3" s="13"/>
    </row>
    <row r="4" spans="1:4">
      <c r="A4" s="4" t="s">
        <v>170</v>
      </c>
      <c r="B4" t="s">
        <v>126</v>
      </c>
      <c r="C4" s="13">
        <v>44739</v>
      </c>
      <c r="D4" s="1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2" customFormat="1">
      <c r="A1" s="20" t="s">
        <v>2</v>
      </c>
      <c r="B1" s="20" t="s">
        <v>150</v>
      </c>
      <c r="C1" s="20" t="s">
        <v>151</v>
      </c>
      <c r="D1" s="20" t="s">
        <v>152</v>
      </c>
    </row>
    <row r="2" spans="1:4">
      <c r="A2" s="4" t="s">
        <v>23</v>
      </c>
      <c r="B2" t="s">
        <v>80</v>
      </c>
      <c r="C2" s="13">
        <v>44718</v>
      </c>
      <c r="D2" s="13"/>
    </row>
    <row r="3" spans="1:4">
      <c r="A3" s="4" t="s">
        <v>22</v>
      </c>
      <c r="B3" t="s">
        <v>80</v>
      </c>
      <c r="C3" s="13">
        <v>44725</v>
      </c>
      <c r="D3" s="13"/>
    </row>
    <row r="4" spans="1:4">
      <c r="A4" s="4" t="s">
        <v>170</v>
      </c>
      <c r="B4" t="s">
        <v>80</v>
      </c>
      <c r="C4" s="13">
        <v>44739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2" customFormat="1">
      <c r="A1" s="19" t="s">
        <v>2</v>
      </c>
      <c r="B1" s="20" t="s">
        <v>127</v>
      </c>
      <c r="C1" s="20" t="s">
        <v>10</v>
      </c>
      <c r="D1" s="20" t="s">
        <v>9</v>
      </c>
    </row>
    <row r="2" spans="1:4">
      <c r="A2" s="3" t="s">
        <v>23</v>
      </c>
      <c r="B2" t="s">
        <v>128</v>
      </c>
      <c r="C2" s="5">
        <v>44718</v>
      </c>
      <c r="D2" s="5"/>
    </row>
    <row r="3" spans="1:4">
      <c r="A3" s="3" t="s">
        <v>22</v>
      </c>
      <c r="B3" t="s">
        <v>129</v>
      </c>
      <c r="C3" s="5">
        <v>44725</v>
      </c>
      <c r="D3" s="5"/>
    </row>
    <row r="4" spans="1:4">
      <c r="A4" s="3" t="s">
        <v>170</v>
      </c>
      <c r="B4" t="s">
        <v>130</v>
      </c>
      <c r="C4" s="5">
        <v>44739</v>
      </c>
      <c r="D4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22" customFormat="1">
      <c r="A1" s="19" t="s">
        <v>2</v>
      </c>
      <c r="B1" s="18" t="s">
        <v>131</v>
      </c>
      <c r="C1" s="18" t="s">
        <v>132</v>
      </c>
      <c r="D1" s="18" t="s">
        <v>10</v>
      </c>
      <c r="E1" s="18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6" sqref="B6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3" customFormat="1">
      <c r="A1" s="20" t="s">
        <v>2</v>
      </c>
      <c r="B1" s="20" t="s">
        <v>186</v>
      </c>
      <c r="C1" s="20" t="s">
        <v>133</v>
      </c>
    </row>
    <row r="2" spans="1:3" s="24" customFormat="1">
      <c r="A2" s="4" t="s">
        <v>23</v>
      </c>
      <c r="B2" t="s">
        <v>21</v>
      </c>
      <c r="C2" t="b">
        <v>1</v>
      </c>
    </row>
    <row r="3" spans="1:3">
      <c r="A3" s="4" t="s">
        <v>22</v>
      </c>
      <c r="B3" t="s">
        <v>21</v>
      </c>
      <c r="C3" t="b">
        <v>1</v>
      </c>
    </row>
    <row r="4" spans="1:3">
      <c r="A4" s="4" t="s">
        <v>170</v>
      </c>
      <c r="B4" t="s">
        <v>21</v>
      </c>
      <c r="C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4" sqref="E4"/>
    </sheetView>
  </sheetViews>
  <sheetFormatPr defaultRowHeight="15"/>
  <cols>
    <col min="6" max="16384" width="9.140625" style="1"/>
  </cols>
  <sheetData>
    <row r="1" spans="1:5" s="22" customFormat="1">
      <c r="A1" s="19" t="s">
        <v>2</v>
      </c>
      <c r="B1" s="20" t="s">
        <v>134</v>
      </c>
      <c r="C1" s="20" t="s">
        <v>135</v>
      </c>
      <c r="D1" s="20" t="s">
        <v>136</v>
      </c>
      <c r="E1" s="20" t="s">
        <v>137</v>
      </c>
    </row>
    <row r="2" spans="1:5">
      <c r="A2" s="4" t="s">
        <v>23</v>
      </c>
      <c r="B2" t="s">
        <v>138</v>
      </c>
      <c r="C2" t="s">
        <v>139</v>
      </c>
      <c r="D2" t="s">
        <v>140</v>
      </c>
      <c r="E2" t="s">
        <v>141</v>
      </c>
    </row>
    <row r="3" spans="1:5">
      <c r="A3" s="4" t="s">
        <v>22</v>
      </c>
      <c r="B3" t="s">
        <v>142</v>
      </c>
      <c r="C3" t="s">
        <v>143</v>
      </c>
      <c r="D3" t="s">
        <v>144</v>
      </c>
      <c r="E3" t="s">
        <v>145</v>
      </c>
    </row>
    <row r="4" spans="1:5">
      <c r="A4" s="4" t="s">
        <v>170</v>
      </c>
      <c r="B4" t="s">
        <v>173</v>
      </c>
      <c r="C4" t="s">
        <v>174</v>
      </c>
      <c r="D4" t="s">
        <v>175</v>
      </c>
      <c r="E4" t="s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G5" sqref="G5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2" customFormat="1">
      <c r="A1" s="17" t="s">
        <v>20</v>
      </c>
      <c r="B1" s="17" t="s">
        <v>19</v>
      </c>
      <c r="C1" s="17" t="s">
        <v>18</v>
      </c>
      <c r="D1" s="17" t="s">
        <v>17</v>
      </c>
      <c r="E1" s="17" t="s">
        <v>16</v>
      </c>
      <c r="F1" s="17" t="s">
        <v>15</v>
      </c>
      <c r="G1" s="17" t="s">
        <v>14</v>
      </c>
      <c r="H1" s="17" t="s">
        <v>13</v>
      </c>
      <c r="I1" s="17" t="s">
        <v>12</v>
      </c>
      <c r="J1" s="17" t="s">
        <v>11</v>
      </c>
    </row>
    <row r="2" spans="1:10">
      <c r="A2" s="10" t="s">
        <v>50</v>
      </c>
      <c r="B2" t="s">
        <v>37</v>
      </c>
      <c r="C2" t="s">
        <v>36</v>
      </c>
      <c r="D2" t="s">
        <v>178</v>
      </c>
      <c r="E2" s="10" t="s">
        <v>34</v>
      </c>
      <c r="F2" s="9" t="str">
        <f t="shared" ref="F2:F10" si="0">CONCATENATE(B2,"/",C2,"/",D2,"/",E2)</f>
        <v>2022-2023/EXPERINCED/APPRIASAL/001</v>
      </c>
      <c r="G2" t="s">
        <v>33</v>
      </c>
      <c r="H2" s="4" t="s">
        <v>49</v>
      </c>
      <c r="I2" s="8" t="s">
        <v>48</v>
      </c>
      <c r="J2" s="7">
        <v>44713</v>
      </c>
    </row>
    <row r="3" spans="1:10">
      <c r="A3" s="10" t="s">
        <v>47</v>
      </c>
      <c r="B3" t="s">
        <v>37</v>
      </c>
      <c r="C3" t="s">
        <v>36</v>
      </c>
      <c r="D3" t="s">
        <v>46</v>
      </c>
      <c r="E3" s="10" t="s">
        <v>34</v>
      </c>
      <c r="F3" s="9" t="str">
        <f t="shared" si="0"/>
        <v>2022-2023/EXPERINCED/RELNDC/001</v>
      </c>
      <c r="G3" t="s">
        <v>33</v>
      </c>
      <c r="H3" s="4" t="s">
        <v>31</v>
      </c>
      <c r="I3" s="11" t="s">
        <v>45</v>
      </c>
      <c r="J3" s="7">
        <v>44715</v>
      </c>
    </row>
    <row r="4" spans="1:10">
      <c r="A4" s="10" t="s">
        <v>44</v>
      </c>
      <c r="B4" t="s">
        <v>37</v>
      </c>
      <c r="C4" t="s">
        <v>36</v>
      </c>
      <c r="D4" t="s">
        <v>43</v>
      </c>
      <c r="E4" s="10" t="s">
        <v>34</v>
      </c>
      <c r="F4" s="9" t="str">
        <f t="shared" si="0"/>
        <v>2022-2023/EXPERINCED/EXPLETTER/001</v>
      </c>
      <c r="G4" t="s">
        <v>33</v>
      </c>
      <c r="H4" s="4" t="s">
        <v>31</v>
      </c>
      <c r="I4" s="8" t="s">
        <v>42</v>
      </c>
      <c r="J4" s="7">
        <v>44715</v>
      </c>
    </row>
    <row r="5" spans="1:10">
      <c r="A5" s="10" t="s">
        <v>41</v>
      </c>
      <c r="B5" t="s">
        <v>37</v>
      </c>
      <c r="C5" t="s">
        <v>36</v>
      </c>
      <c r="D5" t="s">
        <v>40</v>
      </c>
      <c r="E5" s="10" t="s">
        <v>34</v>
      </c>
      <c r="F5" s="9" t="str">
        <f t="shared" si="0"/>
        <v>2022-2023/EXPERINCED/SALSTMT/001</v>
      </c>
      <c r="G5" t="s">
        <v>33</v>
      </c>
      <c r="H5" s="4" t="s">
        <v>31</v>
      </c>
      <c r="I5" s="8" t="s">
        <v>39</v>
      </c>
      <c r="J5" s="7">
        <v>44715</v>
      </c>
    </row>
    <row r="6" spans="1:10">
      <c r="A6" s="10" t="s">
        <v>38</v>
      </c>
      <c r="B6" t="s">
        <v>37</v>
      </c>
      <c r="C6" t="s">
        <v>36</v>
      </c>
      <c r="D6" t="s">
        <v>35</v>
      </c>
      <c r="E6" s="10" t="s">
        <v>34</v>
      </c>
      <c r="F6" s="9" t="str">
        <f t="shared" si="0"/>
        <v>2022-2023/EXPERINCED/FFS/001</v>
      </c>
      <c r="G6" t="s">
        <v>33</v>
      </c>
      <c r="H6" s="4" t="s">
        <v>31</v>
      </c>
      <c r="I6" s="8" t="s">
        <v>32</v>
      </c>
      <c r="J6" s="7">
        <v>44715</v>
      </c>
    </row>
    <row r="7" spans="1:10" ht="15" customHeight="1">
      <c r="A7" s="10" t="s">
        <v>51</v>
      </c>
      <c r="B7" t="s">
        <v>37</v>
      </c>
      <c r="C7" t="s">
        <v>52</v>
      </c>
      <c r="D7" t="s">
        <v>53</v>
      </c>
      <c r="E7" s="10" t="s">
        <v>34</v>
      </c>
      <c r="F7" s="9" t="str">
        <f t="shared" si="0"/>
        <v>2022-2023/TRAINEE/TRAININGINVITE/001</v>
      </c>
      <c r="G7" t="s">
        <v>54</v>
      </c>
      <c r="H7" s="9" t="s">
        <v>23</v>
      </c>
      <c r="I7" s="8" t="s">
        <v>55</v>
      </c>
      <c r="J7" s="7">
        <v>44718</v>
      </c>
    </row>
    <row r="8" spans="1:10" ht="15" customHeight="1">
      <c r="A8" s="10" t="s">
        <v>56</v>
      </c>
      <c r="B8" t="s">
        <v>37</v>
      </c>
      <c r="C8" t="s">
        <v>52</v>
      </c>
      <c r="D8" t="s">
        <v>57</v>
      </c>
      <c r="E8" s="10" t="s">
        <v>34</v>
      </c>
      <c r="F8" s="9" t="str">
        <f t="shared" si="0"/>
        <v>2022-2023/TRAINEE/STIPEND/001</v>
      </c>
      <c r="G8" t="s">
        <v>54</v>
      </c>
      <c r="H8" s="9" t="s">
        <v>23</v>
      </c>
      <c r="I8" s="8" t="s">
        <v>58</v>
      </c>
      <c r="J8" s="7">
        <v>44718</v>
      </c>
    </row>
    <row r="9" spans="1:10" ht="15" customHeight="1">
      <c r="A9" s="10" t="s">
        <v>59</v>
      </c>
      <c r="B9" t="s">
        <v>37</v>
      </c>
      <c r="C9" t="s">
        <v>52</v>
      </c>
      <c r="D9" t="s">
        <v>53</v>
      </c>
      <c r="E9" s="10" t="s">
        <v>60</v>
      </c>
      <c r="F9" s="9" t="str">
        <f t="shared" si="0"/>
        <v>2022-2023/TRAINEE/TRAININGINVITE/002</v>
      </c>
      <c r="G9" t="s">
        <v>33</v>
      </c>
      <c r="H9" s="9" t="s">
        <v>170</v>
      </c>
      <c r="I9" s="8" t="s">
        <v>61</v>
      </c>
      <c r="J9" s="7">
        <v>44739</v>
      </c>
    </row>
    <row r="10" spans="1:10" ht="15" customHeight="1">
      <c r="A10" s="10" t="s">
        <v>62</v>
      </c>
      <c r="B10" t="s">
        <v>37</v>
      </c>
      <c r="C10" t="s">
        <v>52</v>
      </c>
      <c r="D10" t="s">
        <v>57</v>
      </c>
      <c r="E10" s="10" t="s">
        <v>60</v>
      </c>
      <c r="F10" s="9" t="str">
        <f t="shared" si="0"/>
        <v>2022-2023/TRAINEE/STIPEND/002</v>
      </c>
      <c r="G10" t="s">
        <v>33</v>
      </c>
      <c r="H10" s="9" t="s">
        <v>170</v>
      </c>
      <c r="I10" s="8" t="s">
        <v>63</v>
      </c>
      <c r="J10" s="7">
        <v>44739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2025-12-06T10:38:33Z</dcterms:modified>
</cp:coreProperties>
</file>