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 firstSheet="6" activeTab="6"/>
  </bookViews>
  <sheets>
    <sheet name="AllSheet" sheetId="11" r:id="rId1"/>
    <sheet name="02_UnitOccupierGroup" sheetId="13" r:id="rId2"/>
    <sheet name="05_UnitOccupierInfo" sheetId="4" r:id="rId3"/>
    <sheet name="06_UnitOccupierInternalDetail" sheetId="5" r:id="rId4"/>
    <sheet name="07_UnitOccupierOperationDetail" sheetId="6" r:id="rId5"/>
    <sheet name="08_UnitOccupierStatutoryDetail" sheetId="7" r:id="rId6"/>
    <sheet name="09_UnitOccupierAddressInfo" sheetId="8" r:id="rId7"/>
    <sheet name="10_UnitOccupierContactInfo" sheetId="9" r:id="rId8"/>
    <sheet name="11_UnitOccupierKYBInfo" sheetId="10" r:id="rId9"/>
  </sheets>
  <calcPr calcId="124519"/>
</workbook>
</file>

<file path=xl/calcChain.xml><?xml version="1.0" encoding="utf-8"?>
<calcChain xmlns="http://schemas.openxmlformats.org/spreadsheetml/2006/main">
  <c r="C2" i="10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B2" i="9"/>
  <c r="C2"/>
  <c r="D2"/>
  <c r="G2"/>
  <c r="H2"/>
  <c r="B3"/>
  <c r="C3"/>
  <c r="D3"/>
  <c r="G3"/>
  <c r="H3"/>
  <c r="B4"/>
  <c r="C4"/>
  <c r="D4"/>
  <c r="G4"/>
  <c r="H4"/>
  <c r="B5"/>
  <c r="C5"/>
  <c r="D5"/>
  <c r="G5"/>
  <c r="H5"/>
  <c r="B6"/>
  <c r="C6"/>
  <c r="D6"/>
  <c r="G6"/>
  <c r="H6"/>
  <c r="B7"/>
  <c r="C7"/>
  <c r="D7"/>
  <c r="G7"/>
  <c r="H7"/>
  <c r="B8"/>
  <c r="C8"/>
  <c r="D8"/>
  <c r="G8"/>
  <c r="H8"/>
  <c r="B9"/>
  <c r="C9"/>
  <c r="D9"/>
  <c r="G9"/>
  <c r="H9"/>
  <c r="B10"/>
  <c r="C10"/>
  <c r="D10"/>
  <c r="G10"/>
  <c r="H10"/>
  <c r="B11"/>
  <c r="C11"/>
  <c r="D11"/>
  <c r="G11"/>
  <c r="H11"/>
  <c r="B12"/>
  <c r="C12"/>
  <c r="D12"/>
  <c r="G12"/>
  <c r="H12"/>
  <c r="B13"/>
  <c r="C13"/>
  <c r="D13"/>
  <c r="G13"/>
  <c r="H13"/>
  <c r="B14"/>
  <c r="C14"/>
  <c r="D14"/>
  <c r="G14"/>
  <c r="H14"/>
  <c r="B15"/>
  <c r="C15"/>
  <c r="D15"/>
  <c r="G15"/>
  <c r="H15"/>
  <c r="B16"/>
  <c r="C16"/>
  <c r="D16"/>
  <c r="G16"/>
  <c r="H16"/>
  <c r="B17"/>
  <c r="C17"/>
  <c r="D17"/>
  <c r="G17"/>
  <c r="H17"/>
  <c r="B18"/>
  <c r="C18"/>
  <c r="D18"/>
  <c r="G18"/>
  <c r="H18"/>
  <c r="B19"/>
  <c r="C19"/>
  <c r="D19"/>
  <c r="G19"/>
  <c r="H19"/>
  <c r="B20"/>
  <c r="C20"/>
  <c r="D20"/>
  <c r="G20"/>
  <c r="H20"/>
  <c r="B21"/>
  <c r="C21"/>
  <c r="D21"/>
  <c r="G21"/>
  <c r="H21"/>
  <c r="B22"/>
  <c r="C22"/>
  <c r="D22"/>
  <c r="G22"/>
  <c r="H22"/>
  <c r="B23"/>
  <c r="C23"/>
  <c r="D23"/>
  <c r="G23"/>
  <c r="H23"/>
  <c r="B24"/>
  <c r="C24"/>
  <c r="D24"/>
  <c r="G24"/>
  <c r="H24"/>
  <c r="B25"/>
  <c r="C25"/>
  <c r="D25"/>
  <c r="G25"/>
  <c r="H25"/>
  <c r="B26"/>
  <c r="C26"/>
  <c r="D26"/>
  <c r="G26"/>
  <c r="H26"/>
  <c r="B27"/>
  <c r="C27"/>
  <c r="D27"/>
  <c r="G27"/>
  <c r="H27"/>
  <c r="B28"/>
  <c r="C28"/>
  <c r="D28"/>
  <c r="G28"/>
  <c r="H28"/>
  <c r="B29"/>
  <c r="C29"/>
  <c r="D29"/>
  <c r="G29"/>
  <c r="H29"/>
  <c r="B30"/>
  <c r="C30"/>
  <c r="D30"/>
  <c r="G30"/>
  <c r="H30"/>
  <c r="B31"/>
  <c r="C31"/>
  <c r="D31"/>
  <c r="G31"/>
  <c r="H31"/>
  <c r="B32"/>
  <c r="C32"/>
  <c r="D32"/>
  <c r="G32"/>
  <c r="H32"/>
  <c r="B33"/>
  <c r="C33"/>
  <c r="D33"/>
  <c r="G33"/>
  <c r="H33"/>
  <c r="B34"/>
  <c r="C34"/>
  <c r="D34"/>
  <c r="G34"/>
  <c r="H34"/>
  <c r="B35"/>
  <c r="C35"/>
  <c r="D35"/>
  <c r="G35"/>
  <c r="H35"/>
  <c r="B36"/>
  <c r="C36"/>
  <c r="D36"/>
  <c r="G36"/>
  <c r="H36"/>
  <c r="B37"/>
  <c r="C37"/>
  <c r="D37"/>
  <c r="G37"/>
  <c r="H37"/>
  <c r="B38"/>
  <c r="C38"/>
  <c r="D38"/>
  <c r="G38"/>
  <c r="H38"/>
  <c r="B39"/>
  <c r="C39"/>
  <c r="D39"/>
  <c r="G39"/>
  <c r="H39"/>
  <c r="B40"/>
  <c r="C40"/>
  <c r="D40"/>
  <c r="G40"/>
  <c r="H40"/>
  <c r="B41"/>
  <c r="C41"/>
  <c r="D41"/>
  <c r="G41"/>
  <c r="H41"/>
  <c r="B42"/>
  <c r="C42"/>
  <c r="D42"/>
  <c r="G42"/>
  <c r="H42"/>
  <c r="B43"/>
  <c r="C43"/>
  <c r="D43"/>
  <c r="G43"/>
  <c r="H43"/>
  <c r="B44"/>
  <c r="C44"/>
  <c r="D44"/>
  <c r="G44"/>
  <c r="H44"/>
  <c r="B45"/>
  <c r="C45"/>
  <c r="D45"/>
  <c r="G45"/>
  <c r="H45"/>
  <c r="B46"/>
  <c r="C46"/>
  <c r="D46"/>
  <c r="G46"/>
  <c r="H46"/>
  <c r="B47"/>
  <c r="C47"/>
  <c r="D47"/>
  <c r="G47"/>
  <c r="H47"/>
  <c r="B48"/>
  <c r="C48"/>
  <c r="D48"/>
  <c r="G48"/>
  <c r="H48"/>
  <c r="B49"/>
  <c r="C49"/>
  <c r="D49"/>
  <c r="G49"/>
  <c r="H49"/>
  <c r="B50"/>
  <c r="C50"/>
  <c r="D50"/>
  <c r="G50"/>
  <c r="H50"/>
  <c r="B51"/>
  <c r="C51"/>
  <c r="D51"/>
  <c r="G51"/>
  <c r="H51"/>
  <c r="B52"/>
  <c r="C52"/>
  <c r="D52"/>
  <c r="G52"/>
  <c r="H52"/>
  <c r="B53"/>
  <c r="C53"/>
  <c r="D53"/>
  <c r="G53"/>
  <c r="H53"/>
  <c r="B54"/>
  <c r="C54"/>
  <c r="D54"/>
  <c r="G54"/>
  <c r="H54"/>
  <c r="B55"/>
  <c r="C55"/>
  <c r="D55"/>
  <c r="G55"/>
  <c r="H55"/>
  <c r="B56"/>
  <c r="C56"/>
  <c r="D56"/>
  <c r="G56"/>
  <c r="H56"/>
  <c r="B57"/>
  <c r="C57"/>
  <c r="D57"/>
  <c r="G57"/>
  <c r="H57"/>
  <c r="B58"/>
  <c r="C58"/>
  <c r="D58"/>
  <c r="G58"/>
  <c r="H58"/>
  <c r="B59"/>
  <c r="C59"/>
  <c r="D59"/>
  <c r="G59"/>
  <c r="H59"/>
  <c r="B60"/>
  <c r="C60"/>
  <c r="D60"/>
  <c r="G60"/>
  <c r="H60"/>
  <c r="B61"/>
  <c r="C61"/>
  <c r="D61"/>
  <c r="G61"/>
  <c r="H61"/>
  <c r="B62"/>
  <c r="C62"/>
  <c r="D62"/>
  <c r="G62"/>
  <c r="H62"/>
  <c r="B63"/>
  <c r="C63"/>
  <c r="D63"/>
  <c r="G63"/>
  <c r="H63"/>
  <c r="B64"/>
  <c r="C64"/>
  <c r="D64"/>
  <c r="G64"/>
  <c r="H64"/>
  <c r="B65"/>
  <c r="C65"/>
  <c r="D65"/>
  <c r="G65"/>
  <c r="H65"/>
  <c r="B66"/>
  <c r="C66"/>
  <c r="D66"/>
  <c r="G66"/>
  <c r="H66"/>
  <c r="B67"/>
  <c r="C67"/>
  <c r="D67"/>
  <c r="G67"/>
  <c r="H67"/>
  <c r="B68"/>
  <c r="C68"/>
  <c r="D68"/>
  <c r="G68"/>
  <c r="H68"/>
  <c r="B69"/>
  <c r="C69"/>
  <c r="D69"/>
  <c r="G69"/>
  <c r="H69"/>
  <c r="B70"/>
  <c r="C70"/>
  <c r="D70"/>
  <c r="G70"/>
  <c r="H70"/>
  <c r="B71"/>
  <c r="C71"/>
  <c r="D71"/>
  <c r="G71"/>
  <c r="H71"/>
  <c r="B72"/>
  <c r="C72"/>
  <c r="D72"/>
  <c r="G72"/>
  <c r="H72"/>
  <c r="B73"/>
  <c r="C73"/>
  <c r="D73"/>
  <c r="G73"/>
  <c r="H73"/>
  <c r="B74"/>
  <c r="C74"/>
  <c r="D74"/>
  <c r="G74"/>
  <c r="H74"/>
  <c r="B75"/>
  <c r="C75"/>
  <c r="D75"/>
  <c r="G75"/>
  <c r="H75"/>
  <c r="B76"/>
  <c r="C76"/>
  <c r="D76"/>
  <c r="G76"/>
  <c r="H76"/>
  <c r="B77"/>
  <c r="C77"/>
  <c r="D77"/>
  <c r="G77"/>
  <c r="H77"/>
  <c r="B78"/>
  <c r="C78"/>
  <c r="D78"/>
  <c r="G78"/>
  <c r="H78"/>
  <c r="B79"/>
  <c r="C79"/>
  <c r="D79"/>
  <c r="G79"/>
  <c r="H79"/>
  <c r="B80"/>
  <c r="C80"/>
  <c r="D80"/>
  <c r="G80"/>
  <c r="H80"/>
  <c r="B81"/>
  <c r="C81"/>
  <c r="D81"/>
  <c r="G81"/>
  <c r="H81"/>
  <c r="B82"/>
  <c r="C82"/>
  <c r="D82"/>
  <c r="G82"/>
  <c r="H82"/>
  <c r="B83"/>
  <c r="C83"/>
  <c r="D83"/>
  <c r="G83"/>
  <c r="H83"/>
  <c r="B84"/>
  <c r="C84"/>
  <c r="D84"/>
  <c r="G84"/>
  <c r="H84"/>
  <c r="B85"/>
  <c r="C85"/>
  <c r="D85"/>
  <c r="G85"/>
  <c r="H85"/>
  <c r="B86"/>
  <c r="C86"/>
  <c r="D86"/>
  <c r="G86"/>
  <c r="H86"/>
  <c r="B87"/>
  <c r="C87"/>
  <c r="D87"/>
  <c r="G87"/>
  <c r="H87"/>
  <c r="B88"/>
  <c r="C88"/>
  <c r="D88"/>
  <c r="G88"/>
  <c r="H88"/>
  <c r="B89"/>
  <c r="C89"/>
  <c r="D89"/>
  <c r="G89"/>
  <c r="H89"/>
  <c r="B90"/>
  <c r="C90"/>
  <c r="D90"/>
  <c r="G90"/>
  <c r="H90"/>
  <c r="B91"/>
  <c r="C91"/>
  <c r="D91"/>
  <c r="G91"/>
  <c r="H91"/>
  <c r="B92"/>
  <c r="C92"/>
  <c r="D92"/>
  <c r="G92"/>
  <c r="H92"/>
  <c r="B93"/>
  <c r="C93"/>
  <c r="D93"/>
  <c r="G93"/>
  <c r="H93"/>
  <c r="B94"/>
  <c r="C94"/>
  <c r="D94"/>
  <c r="G94"/>
  <c r="H94"/>
  <c r="B95"/>
  <c r="C95"/>
  <c r="D95"/>
  <c r="G95"/>
  <c r="H95"/>
  <c r="B96"/>
  <c r="C96"/>
  <c r="D96"/>
  <c r="G96"/>
  <c r="H96"/>
  <c r="B97"/>
  <c r="C97"/>
  <c r="D97"/>
  <c r="G97"/>
  <c r="H97"/>
  <c r="B98"/>
  <c r="C98"/>
  <c r="D98"/>
  <c r="G98"/>
  <c r="H98"/>
  <c r="B99"/>
  <c r="C99"/>
  <c r="D99"/>
  <c r="G99"/>
  <c r="H99"/>
  <c r="B100"/>
  <c r="C100"/>
  <c r="D100"/>
  <c r="G100"/>
  <c r="H100"/>
  <c r="B101"/>
  <c r="C101"/>
  <c r="D101"/>
  <c r="G101"/>
  <c r="H101"/>
  <c r="B102"/>
  <c r="C102"/>
  <c r="D102"/>
  <c r="G102"/>
  <c r="H102"/>
  <c r="B103"/>
  <c r="C103"/>
  <c r="D103"/>
  <c r="G103"/>
  <c r="H103"/>
  <c r="B104"/>
  <c r="C104"/>
  <c r="D104"/>
  <c r="G104"/>
  <c r="H104"/>
  <c r="B105"/>
  <c r="C105"/>
  <c r="D105"/>
  <c r="G105"/>
  <c r="H105"/>
  <c r="B106"/>
  <c r="C106"/>
  <c r="D106"/>
  <c r="G106"/>
  <c r="H106"/>
  <c r="B107"/>
  <c r="C107"/>
  <c r="D107"/>
  <c r="G107"/>
  <c r="H107"/>
  <c r="B108"/>
  <c r="C108"/>
  <c r="D108"/>
  <c r="G108"/>
  <c r="H108"/>
  <c r="B109"/>
  <c r="C109"/>
  <c r="D109"/>
  <c r="G109"/>
  <c r="H109"/>
  <c r="B110"/>
  <c r="C110"/>
  <c r="D110"/>
  <c r="G110"/>
  <c r="H110"/>
  <c r="B111"/>
  <c r="C111"/>
  <c r="D111"/>
  <c r="G111"/>
  <c r="H111"/>
  <c r="B112"/>
  <c r="C112"/>
  <c r="D112"/>
  <c r="G112"/>
  <c r="H112"/>
  <c r="B113"/>
  <c r="C113"/>
  <c r="D113"/>
  <c r="G113"/>
  <c r="H113"/>
  <c r="B114"/>
  <c r="C114"/>
  <c r="D114"/>
  <c r="G114"/>
  <c r="H114"/>
  <c r="B115"/>
  <c r="C115"/>
  <c r="D115"/>
  <c r="G115"/>
  <c r="H115"/>
  <c r="B116"/>
  <c r="C116"/>
  <c r="D116"/>
  <c r="G116"/>
  <c r="H116"/>
  <c r="B117"/>
  <c r="C117"/>
  <c r="D117"/>
  <c r="G117"/>
  <c r="H117"/>
  <c r="B118"/>
  <c r="C118"/>
  <c r="D118"/>
  <c r="G118"/>
  <c r="H118"/>
  <c r="B119"/>
  <c r="C119"/>
  <c r="D119"/>
  <c r="G119"/>
  <c r="H119"/>
  <c r="B120"/>
  <c r="C120"/>
  <c r="D120"/>
  <c r="G120"/>
  <c r="H120"/>
  <c r="B121"/>
  <c r="C121"/>
  <c r="D121"/>
  <c r="G121"/>
  <c r="H121"/>
  <c r="B122"/>
  <c r="C122"/>
  <c r="D122"/>
  <c r="G122"/>
  <c r="H122"/>
  <c r="B123"/>
  <c r="C123"/>
  <c r="D123"/>
  <c r="G123"/>
  <c r="H123"/>
  <c r="B124"/>
  <c r="C124"/>
  <c r="D124"/>
  <c r="G124"/>
  <c r="H124"/>
  <c r="B125"/>
  <c r="C125"/>
  <c r="D125"/>
  <c r="G125"/>
  <c r="H125"/>
  <c r="B126"/>
  <c r="C126"/>
  <c r="D126"/>
  <c r="G126"/>
  <c r="H126"/>
  <c r="B127"/>
  <c r="C127"/>
  <c r="D127"/>
  <c r="G127"/>
  <c r="H127"/>
  <c r="B128"/>
  <c r="C128"/>
  <c r="D128"/>
  <c r="G128"/>
  <c r="H128"/>
  <c r="B129"/>
  <c r="C129"/>
  <c r="D129"/>
  <c r="G129"/>
  <c r="H129"/>
  <c r="B130"/>
  <c r="C130"/>
  <c r="D130"/>
  <c r="G130"/>
  <c r="H130"/>
  <c r="B131"/>
  <c r="C131"/>
  <c r="D131"/>
  <c r="G131"/>
  <c r="H131"/>
  <c r="B132"/>
  <c r="C132"/>
  <c r="D132"/>
  <c r="G132"/>
  <c r="H132"/>
  <c r="B133"/>
  <c r="C133"/>
  <c r="D133"/>
  <c r="G133"/>
  <c r="H133"/>
  <c r="B134"/>
  <c r="C134"/>
  <c r="D134"/>
  <c r="G134"/>
  <c r="H134"/>
  <c r="B135"/>
  <c r="C135"/>
  <c r="D135"/>
  <c r="G135"/>
  <c r="H135"/>
  <c r="B136"/>
  <c r="C136"/>
  <c r="D136"/>
  <c r="G136"/>
  <c r="H136"/>
  <c r="B137"/>
  <c r="C137"/>
  <c r="D137"/>
  <c r="G137"/>
  <c r="H137"/>
  <c r="B138"/>
  <c r="C138"/>
  <c r="D138"/>
  <c r="G138"/>
  <c r="H138"/>
  <c r="B139"/>
  <c r="C139"/>
  <c r="D139"/>
  <c r="G139"/>
  <c r="H139"/>
  <c r="B140"/>
  <c r="C140"/>
  <c r="D140"/>
  <c r="G140"/>
  <c r="H140"/>
  <c r="B141"/>
  <c r="C141"/>
  <c r="D141"/>
  <c r="G141"/>
  <c r="H141"/>
  <c r="B142"/>
  <c r="C142"/>
  <c r="D142"/>
  <c r="G142"/>
  <c r="H142"/>
  <c r="B143"/>
  <c r="C143"/>
  <c r="D143"/>
  <c r="G143"/>
  <c r="H143"/>
  <c r="B144"/>
  <c r="C144"/>
  <c r="D144"/>
  <c r="G144"/>
  <c r="H144"/>
  <c r="B145"/>
  <c r="C145"/>
  <c r="D145"/>
  <c r="G145"/>
  <c r="H145"/>
  <c r="B146"/>
  <c r="C146"/>
  <c r="D146"/>
  <c r="G146"/>
  <c r="H146"/>
  <c r="B147"/>
  <c r="C147"/>
  <c r="D147"/>
  <c r="G147"/>
  <c r="H147"/>
  <c r="B148"/>
  <c r="C148"/>
  <c r="D148"/>
  <c r="G148"/>
  <c r="H148"/>
  <c r="B149"/>
  <c r="C149"/>
  <c r="D149"/>
  <c r="G149"/>
  <c r="H149"/>
  <c r="B150"/>
  <c r="C150"/>
  <c r="D150"/>
  <c r="G150"/>
  <c r="H150"/>
  <c r="B151"/>
  <c r="C151"/>
  <c r="D151"/>
  <c r="G151"/>
  <c r="H151"/>
  <c r="B152"/>
  <c r="C152"/>
  <c r="D152"/>
  <c r="G152"/>
  <c r="H152"/>
  <c r="B153"/>
  <c r="C153"/>
  <c r="D153"/>
  <c r="G153"/>
  <c r="H153"/>
  <c r="B154"/>
  <c r="C154"/>
  <c r="D154"/>
  <c r="G154"/>
  <c r="H154"/>
  <c r="B155"/>
  <c r="C155"/>
  <c r="D155"/>
  <c r="G155"/>
  <c r="H155"/>
  <c r="B156"/>
  <c r="C156"/>
  <c r="D156"/>
  <c r="G156"/>
  <c r="H156"/>
  <c r="B157"/>
  <c r="C157"/>
  <c r="D157"/>
  <c r="G157"/>
  <c r="H157"/>
  <c r="B158"/>
  <c r="C158"/>
  <c r="D158"/>
  <c r="G158"/>
  <c r="H158"/>
  <c r="B159"/>
  <c r="C159"/>
  <c r="D159"/>
  <c r="G159"/>
  <c r="H159"/>
  <c r="B160"/>
  <c r="C160"/>
  <c r="D160"/>
  <c r="G160"/>
  <c r="H160"/>
  <c r="B161"/>
  <c r="C161"/>
  <c r="D161"/>
  <c r="G161"/>
  <c r="H161"/>
  <c r="B162"/>
  <c r="C162"/>
  <c r="D162"/>
  <c r="G162"/>
  <c r="H162"/>
  <c r="B163"/>
  <c r="C163"/>
  <c r="D163"/>
  <c r="G163"/>
  <c r="H163"/>
  <c r="B164"/>
  <c r="C164"/>
  <c r="D164"/>
  <c r="G164"/>
  <c r="H164"/>
  <c r="B165"/>
  <c r="C165"/>
  <c r="D165"/>
  <c r="G165"/>
  <c r="H165"/>
  <c r="B166"/>
  <c r="C166"/>
  <c r="D166"/>
  <c r="G166"/>
  <c r="H166"/>
  <c r="B167"/>
  <c r="C167"/>
  <c r="D167"/>
  <c r="G167"/>
  <c r="H167"/>
  <c r="B168"/>
  <c r="C168"/>
  <c r="D168"/>
  <c r="G168"/>
  <c r="H168"/>
  <c r="B169"/>
  <c r="C169"/>
  <c r="D169"/>
  <c r="G169"/>
  <c r="H169"/>
  <c r="B170"/>
  <c r="C170"/>
  <c r="D170"/>
  <c r="G170"/>
  <c r="H170"/>
  <c r="B171"/>
  <c r="C171"/>
  <c r="D171"/>
  <c r="G171"/>
  <c r="H171"/>
  <c r="B172"/>
  <c r="C172"/>
  <c r="D172"/>
  <c r="G172"/>
  <c r="H172"/>
  <c r="B173"/>
  <c r="C173"/>
  <c r="D173"/>
  <c r="G173"/>
  <c r="H173"/>
  <c r="B174"/>
  <c r="C174"/>
  <c r="D174"/>
  <c r="G174"/>
  <c r="H174"/>
  <c r="B175"/>
  <c r="C175"/>
  <c r="D175"/>
  <c r="G175"/>
  <c r="H175"/>
  <c r="B176"/>
  <c r="C176"/>
  <c r="D176"/>
  <c r="G176"/>
  <c r="H176"/>
  <c r="B177"/>
  <c r="C177"/>
  <c r="D177"/>
  <c r="G177"/>
  <c r="H177"/>
  <c r="B178"/>
  <c r="C178"/>
  <c r="D178"/>
  <c r="G178"/>
  <c r="H178"/>
  <c r="B179"/>
  <c r="C179"/>
  <c r="D179"/>
  <c r="G179"/>
  <c r="H179"/>
  <c r="B180"/>
  <c r="C180"/>
  <c r="D180"/>
  <c r="G180"/>
  <c r="H180"/>
  <c r="B181"/>
  <c r="C181"/>
  <c r="D181"/>
  <c r="G181"/>
  <c r="H181"/>
  <c r="B182"/>
  <c r="C182"/>
  <c r="D182"/>
  <c r="G182"/>
  <c r="H182"/>
  <c r="B183"/>
  <c r="C183"/>
  <c r="D183"/>
  <c r="G183"/>
  <c r="H183"/>
  <c r="B184"/>
  <c r="C184"/>
  <c r="D184"/>
  <c r="G184"/>
  <c r="H184"/>
  <c r="B185"/>
  <c r="C185"/>
  <c r="D185"/>
  <c r="G185"/>
  <c r="H185"/>
  <c r="B186"/>
  <c r="C186"/>
  <c r="D186"/>
  <c r="G186"/>
  <c r="H186"/>
  <c r="B187"/>
  <c r="C187"/>
  <c r="D187"/>
  <c r="G187"/>
  <c r="H187"/>
  <c r="B2" i="8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C2" i="5"/>
  <c r="E2"/>
  <c r="F2"/>
  <c r="G2"/>
  <c r="H2"/>
  <c r="I2"/>
  <c r="C3"/>
  <c r="E3"/>
  <c r="F3"/>
  <c r="G3"/>
  <c r="H3"/>
  <c r="I3"/>
  <c r="C4"/>
  <c r="E4"/>
  <c r="F4"/>
  <c r="G4"/>
  <c r="H4"/>
  <c r="I4"/>
  <c r="C5"/>
  <c r="E5"/>
  <c r="F5"/>
  <c r="G5"/>
  <c r="H5"/>
  <c r="I5"/>
  <c r="C6"/>
  <c r="E6"/>
  <c r="F6"/>
  <c r="G6"/>
  <c r="H6"/>
  <c r="I6"/>
  <c r="C7"/>
  <c r="E7"/>
  <c r="F7"/>
  <c r="G7"/>
  <c r="H7"/>
  <c r="I7"/>
  <c r="C8"/>
  <c r="E8"/>
  <c r="F8"/>
  <c r="G8"/>
  <c r="H8"/>
  <c r="I8"/>
  <c r="C9"/>
  <c r="E9"/>
  <c r="F9"/>
  <c r="G9"/>
  <c r="H9"/>
  <c r="I9"/>
  <c r="C10"/>
  <c r="E10"/>
  <c r="F10"/>
  <c r="G10"/>
  <c r="H10"/>
  <c r="I10"/>
  <c r="C11"/>
  <c r="E11"/>
  <c r="F11"/>
  <c r="G11"/>
  <c r="H11"/>
  <c r="I11"/>
  <c r="C12"/>
  <c r="E12"/>
  <c r="F12"/>
  <c r="G12"/>
  <c r="H12"/>
  <c r="I12"/>
  <c r="C13"/>
  <c r="E13"/>
  <c r="F13"/>
  <c r="G13"/>
  <c r="H13"/>
  <c r="I13"/>
  <c r="C14"/>
  <c r="E14"/>
  <c r="F14"/>
  <c r="G14"/>
  <c r="H14"/>
  <c r="I14"/>
  <c r="C15"/>
  <c r="E15"/>
  <c r="F15"/>
  <c r="G15"/>
  <c r="H15"/>
  <c r="I15"/>
  <c r="C16"/>
  <c r="E16"/>
  <c r="F16"/>
  <c r="G16"/>
  <c r="H16"/>
  <c r="I16"/>
  <c r="C17"/>
  <c r="E17"/>
  <c r="F17"/>
  <c r="G17"/>
  <c r="H17"/>
  <c r="I17"/>
  <c r="C18"/>
  <c r="E18"/>
  <c r="F18"/>
  <c r="G18"/>
  <c r="H18"/>
  <c r="I18"/>
  <c r="C19"/>
  <c r="E19"/>
  <c r="F19"/>
  <c r="G19"/>
  <c r="H19"/>
  <c r="I19"/>
  <c r="C20"/>
  <c r="E20"/>
  <c r="F20"/>
  <c r="G20"/>
  <c r="H20"/>
  <c r="I20"/>
  <c r="C21"/>
  <c r="E21"/>
  <c r="F21"/>
  <c r="G21"/>
  <c r="H21"/>
  <c r="I21"/>
  <c r="C22"/>
  <c r="E22"/>
  <c r="F22"/>
  <c r="G22"/>
  <c r="H22"/>
  <c r="I22"/>
  <c r="C23"/>
  <c r="E23"/>
  <c r="F23"/>
  <c r="G23"/>
  <c r="H23"/>
  <c r="I23"/>
  <c r="C24"/>
  <c r="E24"/>
  <c r="F24"/>
  <c r="G24"/>
  <c r="H24"/>
  <c r="I24"/>
  <c r="C25"/>
  <c r="E25"/>
  <c r="F25"/>
  <c r="G25"/>
  <c r="H25"/>
  <c r="I25"/>
  <c r="C26"/>
  <c r="E26"/>
  <c r="F26"/>
  <c r="G26"/>
  <c r="H26"/>
  <c r="I26"/>
  <c r="C27"/>
  <c r="E27"/>
  <c r="F27"/>
  <c r="G27"/>
  <c r="H27"/>
  <c r="I27"/>
  <c r="C28"/>
  <c r="E28"/>
  <c r="F28"/>
  <c r="G28"/>
  <c r="H28"/>
  <c r="I28"/>
  <c r="C29"/>
  <c r="E29"/>
  <c r="F29"/>
  <c r="G29"/>
  <c r="H29"/>
  <c r="I29"/>
  <c r="C30"/>
  <c r="E30"/>
  <c r="F30"/>
  <c r="G30"/>
  <c r="H30"/>
  <c r="I30"/>
  <c r="C31"/>
  <c r="E31"/>
  <c r="F31"/>
  <c r="G31"/>
  <c r="H31"/>
  <c r="I31"/>
  <c r="C32"/>
  <c r="E32"/>
  <c r="F32"/>
  <c r="G32"/>
  <c r="H32"/>
  <c r="I32"/>
  <c r="C33"/>
  <c r="E33"/>
  <c r="F33"/>
  <c r="G33"/>
  <c r="H33"/>
  <c r="I33"/>
  <c r="C34"/>
  <c r="E34"/>
  <c r="F34"/>
  <c r="G34"/>
  <c r="H34"/>
  <c r="I34"/>
  <c r="C35"/>
  <c r="E35"/>
  <c r="F35"/>
  <c r="G35"/>
  <c r="H35"/>
  <c r="I35"/>
  <c r="C36"/>
  <c r="E36"/>
  <c r="F36"/>
  <c r="G36"/>
  <c r="H36"/>
  <c r="I36"/>
  <c r="C37"/>
  <c r="E37"/>
  <c r="F37"/>
  <c r="G37"/>
  <c r="H37"/>
  <c r="I37"/>
  <c r="C38"/>
  <c r="E38"/>
  <c r="F38"/>
  <c r="G38"/>
  <c r="H38"/>
  <c r="I38"/>
  <c r="C39"/>
  <c r="E39"/>
  <c r="F39"/>
  <c r="G39"/>
  <c r="H39"/>
  <c r="I39"/>
  <c r="C40"/>
  <c r="E40"/>
  <c r="F40"/>
  <c r="G40"/>
  <c r="H40"/>
  <c r="I40"/>
  <c r="C41"/>
  <c r="E41"/>
  <c r="F41"/>
  <c r="G41"/>
  <c r="H41"/>
  <c r="I41"/>
  <c r="C42"/>
  <c r="E42"/>
  <c r="F42"/>
  <c r="G42"/>
  <c r="H42"/>
  <c r="I42"/>
  <c r="C43"/>
  <c r="E43"/>
  <c r="F43"/>
  <c r="G43"/>
  <c r="H43"/>
  <c r="I43"/>
  <c r="C44"/>
  <c r="E44"/>
  <c r="F44"/>
  <c r="G44"/>
  <c r="H44"/>
  <c r="I44"/>
  <c r="C45"/>
  <c r="E45"/>
  <c r="F45"/>
  <c r="G45"/>
  <c r="H45"/>
  <c r="I45"/>
  <c r="C46"/>
  <c r="E46"/>
  <c r="F46"/>
  <c r="G46"/>
  <c r="H46"/>
  <c r="I46"/>
  <c r="C47"/>
  <c r="E47"/>
  <c r="F47"/>
  <c r="G47"/>
  <c r="H47"/>
  <c r="I47"/>
  <c r="C48"/>
  <c r="E48"/>
  <c r="F48"/>
  <c r="G48"/>
  <c r="H48"/>
  <c r="I48"/>
  <c r="C49"/>
  <c r="E49"/>
  <c r="F49"/>
  <c r="G49"/>
  <c r="H49"/>
  <c r="I49"/>
  <c r="C50"/>
  <c r="E50"/>
  <c r="F50"/>
  <c r="G50"/>
  <c r="H50"/>
  <c r="I50"/>
  <c r="C51"/>
  <c r="E51"/>
  <c r="F51"/>
  <c r="G51"/>
  <c r="H51"/>
  <c r="I51"/>
  <c r="C52"/>
  <c r="E52"/>
  <c r="F52"/>
  <c r="G52"/>
  <c r="H52"/>
  <c r="I52"/>
  <c r="C53"/>
  <c r="E53"/>
  <c r="F53"/>
  <c r="G53"/>
  <c r="H53"/>
  <c r="I53"/>
  <c r="C54"/>
  <c r="E54"/>
  <c r="F54"/>
  <c r="G54"/>
  <c r="H54"/>
  <c r="I54"/>
  <c r="C55"/>
  <c r="E55"/>
  <c r="F55"/>
  <c r="G55"/>
  <c r="H55"/>
  <c r="I55"/>
  <c r="C56"/>
  <c r="E56"/>
  <c r="F56"/>
  <c r="G56"/>
  <c r="H56"/>
  <c r="I56"/>
  <c r="C57"/>
  <c r="E57"/>
  <c r="F57"/>
  <c r="G57"/>
  <c r="H57"/>
  <c r="I57"/>
  <c r="C58"/>
  <c r="E58"/>
  <c r="F58"/>
  <c r="G58"/>
  <c r="H58"/>
  <c r="I58"/>
  <c r="C59"/>
  <c r="E59"/>
  <c r="F59"/>
  <c r="G59"/>
  <c r="H59"/>
  <c r="I59"/>
  <c r="C60"/>
  <c r="E60"/>
  <c r="F60"/>
  <c r="G60"/>
  <c r="H60"/>
  <c r="I60"/>
  <c r="C61"/>
  <c r="E61"/>
  <c r="F61"/>
  <c r="G61"/>
  <c r="H61"/>
  <c r="I61"/>
  <c r="C62"/>
  <c r="E62"/>
  <c r="F62"/>
  <c r="G62"/>
  <c r="H62"/>
  <c r="I62"/>
  <c r="C63"/>
  <c r="E63"/>
  <c r="F63"/>
  <c r="G63"/>
  <c r="H63"/>
  <c r="I63"/>
  <c r="C64"/>
  <c r="E64"/>
  <c r="F64"/>
  <c r="G64"/>
  <c r="H64"/>
  <c r="I64"/>
  <c r="C65"/>
  <c r="E65"/>
  <c r="F65"/>
  <c r="G65"/>
  <c r="H65"/>
  <c r="I65"/>
  <c r="C66"/>
  <c r="E66"/>
  <c r="F66"/>
  <c r="G66"/>
  <c r="H66"/>
  <c r="I66"/>
  <c r="C67"/>
  <c r="E67"/>
  <c r="F67"/>
  <c r="G67"/>
  <c r="H67"/>
  <c r="I67"/>
  <c r="C68"/>
  <c r="E68"/>
  <c r="F68"/>
  <c r="G68"/>
  <c r="H68"/>
  <c r="I68"/>
  <c r="C69"/>
  <c r="E69"/>
  <c r="F69"/>
  <c r="G69"/>
  <c r="H69"/>
  <c r="I69"/>
  <c r="C70"/>
  <c r="E70"/>
  <c r="F70"/>
  <c r="G70"/>
  <c r="H70"/>
  <c r="I70"/>
  <c r="C71"/>
  <c r="E71"/>
  <c r="F71"/>
  <c r="G71"/>
  <c r="H71"/>
  <c r="I71"/>
  <c r="C72"/>
  <c r="E72"/>
  <c r="F72"/>
  <c r="G72"/>
  <c r="H72"/>
  <c r="I72"/>
  <c r="C73"/>
  <c r="E73"/>
  <c r="F73"/>
  <c r="G73"/>
  <c r="H73"/>
  <c r="I73"/>
  <c r="C74"/>
  <c r="E74"/>
  <c r="F74"/>
  <c r="G74"/>
  <c r="H74"/>
  <c r="I74"/>
  <c r="C75"/>
  <c r="E75"/>
  <c r="F75"/>
  <c r="G75"/>
  <c r="H75"/>
  <c r="I75"/>
  <c r="C76"/>
  <c r="E76"/>
  <c r="F76"/>
  <c r="G76"/>
  <c r="H76"/>
  <c r="I76"/>
  <c r="C77"/>
  <c r="E77"/>
  <c r="F77"/>
  <c r="G77"/>
  <c r="H77"/>
  <c r="I77"/>
  <c r="C78"/>
  <c r="E78"/>
  <c r="F78"/>
  <c r="G78"/>
  <c r="H78"/>
  <c r="I78"/>
  <c r="C79"/>
  <c r="E79"/>
  <c r="F79"/>
  <c r="G79"/>
  <c r="H79"/>
  <c r="I79"/>
  <c r="C80"/>
  <c r="E80"/>
  <c r="F80"/>
  <c r="G80"/>
  <c r="H80"/>
  <c r="I80"/>
  <c r="C81"/>
  <c r="E81"/>
  <c r="F81"/>
  <c r="G81"/>
  <c r="H81"/>
  <c r="I81"/>
  <c r="C82"/>
  <c r="E82"/>
  <c r="F82"/>
  <c r="G82"/>
  <c r="H82"/>
  <c r="I82"/>
  <c r="C83"/>
  <c r="E83"/>
  <c r="F83"/>
  <c r="G83"/>
  <c r="H83"/>
  <c r="I83"/>
  <c r="C84"/>
  <c r="E84"/>
  <c r="F84"/>
  <c r="G84"/>
  <c r="H84"/>
  <c r="I84"/>
  <c r="C85"/>
  <c r="E85"/>
  <c r="F85"/>
  <c r="G85"/>
  <c r="H85"/>
  <c r="I85"/>
  <c r="C86"/>
  <c r="E86"/>
  <c r="F86"/>
  <c r="G86"/>
  <c r="H86"/>
  <c r="I86"/>
  <c r="C87"/>
  <c r="E87"/>
  <c r="F87"/>
  <c r="G87"/>
  <c r="H87"/>
  <c r="I87"/>
  <c r="C88"/>
  <c r="E88"/>
  <c r="F88"/>
  <c r="G88"/>
  <c r="H88"/>
  <c r="I88"/>
  <c r="C89"/>
  <c r="E89"/>
  <c r="F89"/>
  <c r="G89"/>
  <c r="H89"/>
  <c r="I89"/>
  <c r="C90"/>
  <c r="E90"/>
  <c r="F90"/>
  <c r="G90"/>
  <c r="H90"/>
  <c r="I90"/>
  <c r="C91"/>
  <c r="E91"/>
  <c r="F91"/>
  <c r="G91"/>
  <c r="H91"/>
  <c r="I91"/>
  <c r="C92"/>
  <c r="E92"/>
  <c r="F92"/>
  <c r="G92"/>
  <c r="H92"/>
  <c r="I92"/>
  <c r="C93"/>
  <c r="E93"/>
  <c r="F93"/>
  <c r="G93"/>
  <c r="H93"/>
  <c r="I93"/>
  <c r="C94"/>
  <c r="E94"/>
  <c r="F94"/>
  <c r="G94"/>
  <c r="H94"/>
  <c r="I94"/>
  <c r="C95"/>
  <c r="E95"/>
  <c r="F95"/>
  <c r="G95"/>
  <c r="H95"/>
  <c r="I95"/>
  <c r="C96"/>
  <c r="E96"/>
  <c r="F96"/>
  <c r="G96"/>
  <c r="H96"/>
  <c r="I96"/>
  <c r="C97"/>
  <c r="E97"/>
  <c r="F97"/>
  <c r="G97"/>
  <c r="H97"/>
  <c r="I97"/>
  <c r="C98"/>
  <c r="E98"/>
  <c r="F98"/>
  <c r="G98"/>
  <c r="H98"/>
  <c r="I98"/>
  <c r="C99"/>
  <c r="E99"/>
  <c r="F99"/>
  <c r="G99"/>
  <c r="H99"/>
  <c r="I99"/>
  <c r="C100"/>
  <c r="E100"/>
  <c r="F100"/>
  <c r="G100"/>
  <c r="H100"/>
  <c r="I100"/>
  <c r="C101"/>
  <c r="E101"/>
  <c r="F101"/>
  <c r="G101"/>
  <c r="H101"/>
  <c r="I101"/>
  <c r="C102"/>
  <c r="E102"/>
  <c r="F102"/>
  <c r="G102"/>
  <c r="H102"/>
  <c r="I102"/>
  <c r="C103"/>
  <c r="E103"/>
  <c r="F103"/>
  <c r="G103"/>
  <c r="H103"/>
  <c r="I103"/>
  <c r="C104"/>
  <c r="E104"/>
  <c r="F104"/>
  <c r="G104"/>
  <c r="H104"/>
  <c r="I104"/>
  <c r="C105"/>
  <c r="E105"/>
  <c r="F105"/>
  <c r="G105"/>
  <c r="H105"/>
  <c r="I105"/>
  <c r="C106"/>
  <c r="E106"/>
  <c r="F106"/>
  <c r="G106"/>
  <c r="H106"/>
  <c r="I106"/>
  <c r="C107"/>
  <c r="E107"/>
  <c r="F107"/>
  <c r="G107"/>
  <c r="H107"/>
  <c r="I107"/>
  <c r="C108"/>
  <c r="E108"/>
  <c r="F108"/>
  <c r="G108"/>
  <c r="H108"/>
  <c r="I108"/>
  <c r="C109"/>
  <c r="E109"/>
  <c r="F109"/>
  <c r="G109"/>
  <c r="H109"/>
  <c r="I109"/>
  <c r="C110"/>
  <c r="E110"/>
  <c r="F110"/>
  <c r="G110"/>
  <c r="H110"/>
  <c r="I110"/>
  <c r="C111"/>
  <c r="E111"/>
  <c r="F111"/>
  <c r="G111"/>
  <c r="H111"/>
  <c r="I111"/>
  <c r="C112"/>
  <c r="E112"/>
  <c r="F112"/>
  <c r="G112"/>
  <c r="H112"/>
  <c r="I112"/>
  <c r="C113"/>
  <c r="E113"/>
  <c r="F113"/>
  <c r="G113"/>
  <c r="H113"/>
  <c r="I113"/>
  <c r="C114"/>
  <c r="E114"/>
  <c r="F114"/>
  <c r="G114"/>
  <c r="H114"/>
  <c r="I114"/>
  <c r="C115"/>
  <c r="E115"/>
  <c r="F115"/>
  <c r="G115"/>
  <c r="H115"/>
  <c r="I115"/>
  <c r="C116"/>
  <c r="E116"/>
  <c r="F116"/>
  <c r="G116"/>
  <c r="H116"/>
  <c r="I116"/>
  <c r="C117"/>
  <c r="E117"/>
  <c r="F117"/>
  <c r="G117"/>
  <c r="H117"/>
  <c r="I117"/>
  <c r="C118"/>
  <c r="E118"/>
  <c r="F118"/>
  <c r="G118"/>
  <c r="H118"/>
  <c r="I118"/>
  <c r="C119"/>
  <c r="E119"/>
  <c r="F119"/>
  <c r="G119"/>
  <c r="H119"/>
  <c r="I119"/>
  <c r="C120"/>
  <c r="E120"/>
  <c r="F120"/>
  <c r="G120"/>
  <c r="H120"/>
  <c r="I120"/>
  <c r="C121"/>
  <c r="E121"/>
  <c r="F121"/>
  <c r="G121"/>
  <c r="H121"/>
  <c r="I121"/>
  <c r="C122"/>
  <c r="E122"/>
  <c r="F122"/>
  <c r="G122"/>
  <c r="H122"/>
  <c r="I122"/>
  <c r="C123"/>
  <c r="E123"/>
  <c r="F123"/>
  <c r="G123"/>
  <c r="H123"/>
  <c r="I123"/>
  <c r="C124"/>
  <c r="E124"/>
  <c r="F124"/>
  <c r="G124"/>
  <c r="H124"/>
  <c r="I124"/>
  <c r="C125"/>
  <c r="E125"/>
  <c r="F125"/>
  <c r="G125"/>
  <c r="H125"/>
  <c r="I125"/>
  <c r="C126"/>
  <c r="E126"/>
  <c r="F126"/>
  <c r="G126"/>
  <c r="H126"/>
  <c r="I126"/>
  <c r="C127"/>
  <c r="E127"/>
  <c r="F127"/>
  <c r="G127"/>
  <c r="H127"/>
  <c r="I127"/>
  <c r="C128"/>
  <c r="E128"/>
  <c r="F128"/>
  <c r="G128"/>
  <c r="H128"/>
  <c r="I128"/>
  <c r="C129"/>
  <c r="E129"/>
  <c r="F129"/>
  <c r="G129"/>
  <c r="H129"/>
  <c r="I129"/>
  <c r="C130"/>
  <c r="E130"/>
  <c r="F130"/>
  <c r="G130"/>
  <c r="H130"/>
  <c r="I130"/>
  <c r="C131"/>
  <c r="E131"/>
  <c r="F131"/>
  <c r="G131"/>
  <c r="H131"/>
  <c r="I131"/>
  <c r="C132"/>
  <c r="E132"/>
  <c r="F132"/>
  <c r="G132"/>
  <c r="H132"/>
  <c r="I132"/>
  <c r="C133"/>
  <c r="E133"/>
  <c r="F133"/>
  <c r="G133"/>
  <c r="H133"/>
  <c r="I133"/>
  <c r="C134"/>
  <c r="E134"/>
  <c r="F134"/>
  <c r="G134"/>
  <c r="H134"/>
  <c r="I134"/>
  <c r="C135"/>
  <c r="E135"/>
  <c r="F135"/>
  <c r="G135"/>
  <c r="H135"/>
  <c r="I135"/>
  <c r="C136"/>
  <c r="E136"/>
  <c r="F136"/>
  <c r="G136"/>
  <c r="H136"/>
  <c r="I136"/>
  <c r="C137"/>
  <c r="E137"/>
  <c r="F137"/>
  <c r="G137"/>
  <c r="H137"/>
  <c r="I137"/>
  <c r="C138"/>
  <c r="E138"/>
  <c r="F138"/>
  <c r="G138"/>
  <c r="H138"/>
  <c r="I138"/>
  <c r="C139"/>
  <c r="E139"/>
  <c r="F139"/>
  <c r="G139"/>
  <c r="H139"/>
  <c r="I139"/>
  <c r="C140"/>
  <c r="E140"/>
  <c r="F140"/>
  <c r="G140"/>
  <c r="H140"/>
  <c r="I140"/>
  <c r="C141"/>
  <c r="E141"/>
  <c r="F141"/>
  <c r="G141"/>
  <c r="H141"/>
  <c r="I141"/>
  <c r="C142"/>
  <c r="E142"/>
  <c r="F142"/>
  <c r="G142"/>
  <c r="H142"/>
  <c r="I142"/>
  <c r="C143"/>
  <c r="E143"/>
  <c r="F143"/>
  <c r="G143"/>
  <c r="H143"/>
  <c r="I143"/>
  <c r="C144"/>
  <c r="E144"/>
  <c r="F144"/>
  <c r="G144"/>
  <c r="H144"/>
  <c r="I144"/>
  <c r="C145"/>
  <c r="E145"/>
  <c r="F145"/>
  <c r="G145"/>
  <c r="H145"/>
  <c r="I145"/>
  <c r="C146"/>
  <c r="E146"/>
  <c r="F146"/>
  <c r="G146"/>
  <c r="H146"/>
  <c r="I146"/>
  <c r="C147"/>
  <c r="E147"/>
  <c r="F147"/>
  <c r="G147"/>
  <c r="H147"/>
  <c r="I147"/>
  <c r="C148"/>
  <c r="E148"/>
  <c r="F148"/>
  <c r="G148"/>
  <c r="H148"/>
  <c r="I148"/>
  <c r="C149"/>
  <c r="E149"/>
  <c r="F149"/>
  <c r="G149"/>
  <c r="H149"/>
  <c r="I149"/>
  <c r="C150"/>
  <c r="E150"/>
  <c r="F150"/>
  <c r="G150"/>
  <c r="H150"/>
  <c r="I150"/>
  <c r="C151"/>
  <c r="E151"/>
  <c r="F151"/>
  <c r="G151"/>
  <c r="H151"/>
  <c r="I151"/>
  <c r="C152"/>
  <c r="E152"/>
  <c r="F152"/>
  <c r="G152"/>
  <c r="H152"/>
  <c r="I152"/>
  <c r="C153"/>
  <c r="E153"/>
  <c r="F153"/>
  <c r="G153"/>
  <c r="H153"/>
  <c r="I153"/>
  <c r="C154"/>
  <c r="E154"/>
  <c r="F154"/>
  <c r="G154"/>
  <c r="H154"/>
  <c r="I154"/>
  <c r="C155"/>
  <c r="E155"/>
  <c r="F155"/>
  <c r="G155"/>
  <c r="H155"/>
  <c r="I155"/>
  <c r="C156"/>
  <c r="E156"/>
  <c r="F156"/>
  <c r="G156"/>
  <c r="H156"/>
  <c r="I156"/>
  <c r="C157"/>
  <c r="E157"/>
  <c r="F157"/>
  <c r="G157"/>
  <c r="H157"/>
  <c r="I157"/>
  <c r="C158"/>
  <c r="E158"/>
  <c r="F158"/>
  <c r="G158"/>
  <c r="H158"/>
  <c r="I158"/>
  <c r="C159"/>
  <c r="E159"/>
  <c r="F159"/>
  <c r="G159"/>
  <c r="H159"/>
  <c r="I159"/>
  <c r="C160"/>
  <c r="E160"/>
  <c r="F160"/>
  <c r="G160"/>
  <c r="H160"/>
  <c r="I160"/>
  <c r="C161"/>
  <c r="E161"/>
  <c r="F161"/>
  <c r="G161"/>
  <c r="H161"/>
  <c r="I161"/>
  <c r="C162"/>
  <c r="E162"/>
  <c r="F162"/>
  <c r="G162"/>
  <c r="H162"/>
  <c r="I162"/>
  <c r="C163"/>
  <c r="E163"/>
  <c r="F163"/>
  <c r="G163"/>
  <c r="H163"/>
  <c r="I163"/>
  <c r="C164"/>
  <c r="E164"/>
  <c r="F164"/>
  <c r="G164"/>
  <c r="H164"/>
  <c r="I164"/>
  <c r="C165"/>
  <c r="E165"/>
  <c r="F165"/>
  <c r="G165"/>
  <c r="H165"/>
  <c r="I165"/>
  <c r="C166"/>
  <c r="E166"/>
  <c r="F166"/>
  <c r="G166"/>
  <c r="H166"/>
  <c r="I166"/>
  <c r="C167"/>
  <c r="E167"/>
  <c r="F167"/>
  <c r="G167"/>
  <c r="H167"/>
  <c r="I167"/>
  <c r="C168"/>
  <c r="E168"/>
  <c r="F168"/>
  <c r="G168"/>
  <c r="H168"/>
  <c r="I168"/>
  <c r="C169"/>
  <c r="E169"/>
  <c r="F169"/>
  <c r="G169"/>
  <c r="H169"/>
  <c r="I169"/>
  <c r="C170"/>
  <c r="E170"/>
  <c r="F170"/>
  <c r="G170"/>
  <c r="H170"/>
  <c r="I170"/>
  <c r="C171"/>
  <c r="E171"/>
  <c r="F171"/>
  <c r="G171"/>
  <c r="H171"/>
  <c r="I171"/>
  <c r="C172"/>
  <c r="E172"/>
  <c r="F172"/>
  <c r="G172"/>
  <c r="H172"/>
  <c r="I172"/>
  <c r="C173"/>
  <c r="E173"/>
  <c r="F173"/>
  <c r="G173"/>
  <c r="H173"/>
  <c r="I173"/>
  <c r="C174"/>
  <c r="E174"/>
  <c r="F174"/>
  <c r="G174"/>
  <c r="H174"/>
  <c r="I174"/>
  <c r="C175"/>
  <c r="E175"/>
  <c r="F175"/>
  <c r="G175"/>
  <c r="H175"/>
  <c r="I175"/>
  <c r="C176"/>
  <c r="E176"/>
  <c r="F176"/>
  <c r="G176"/>
  <c r="H176"/>
  <c r="I176"/>
  <c r="C177"/>
  <c r="E177"/>
  <c r="F177"/>
  <c r="G177"/>
  <c r="H177"/>
  <c r="I177"/>
  <c r="C178"/>
  <c r="E178"/>
  <c r="F178"/>
  <c r="G178"/>
  <c r="H178"/>
  <c r="I178"/>
  <c r="C179"/>
  <c r="E179"/>
  <c r="F179"/>
  <c r="G179"/>
  <c r="H179"/>
  <c r="I179"/>
  <c r="C180"/>
  <c r="E180"/>
  <c r="F180"/>
  <c r="G180"/>
  <c r="H180"/>
  <c r="I180"/>
  <c r="C181"/>
  <c r="E181"/>
  <c r="F181"/>
  <c r="G181"/>
  <c r="H181"/>
  <c r="I181"/>
  <c r="C182"/>
  <c r="E182"/>
  <c r="F182"/>
  <c r="G182"/>
  <c r="H182"/>
  <c r="I182"/>
  <c r="C183"/>
  <c r="E183"/>
  <c r="F183"/>
  <c r="G183"/>
  <c r="H183"/>
  <c r="I183"/>
  <c r="C184"/>
  <c r="E184"/>
  <c r="F184"/>
  <c r="G184"/>
  <c r="H184"/>
  <c r="I184"/>
  <c r="C185"/>
  <c r="E185"/>
  <c r="F185"/>
  <c r="G185"/>
  <c r="H185"/>
  <c r="I185"/>
  <c r="C186"/>
  <c r="E186"/>
  <c r="F186"/>
  <c r="G186"/>
  <c r="H186"/>
  <c r="I186"/>
  <c r="C187"/>
  <c r="E187"/>
  <c r="F187"/>
  <c r="G187"/>
  <c r="H187"/>
  <c r="I187"/>
</calcChain>
</file>

<file path=xl/sharedStrings.xml><?xml version="1.0" encoding="utf-8"?>
<sst xmlns="http://schemas.openxmlformats.org/spreadsheetml/2006/main" count="7169" uniqueCount="552">
  <si>
    <t>D11thFloor</t>
  </si>
  <si>
    <t>Mitul Tradelink Pvt Ltd</t>
  </si>
  <si>
    <t>D1008</t>
  </si>
  <si>
    <t>MAP Refoils India Ltd</t>
  </si>
  <si>
    <t>D1007</t>
  </si>
  <si>
    <t>D1006</t>
  </si>
  <si>
    <t>Shree Siddhi Infrabuild Pvt Ltd</t>
  </si>
  <si>
    <t>D1005</t>
  </si>
  <si>
    <t>JSIW Infrastructure P. Ltd</t>
  </si>
  <si>
    <t>D1004</t>
  </si>
  <si>
    <t>Maheshbhai Nayak</t>
  </si>
  <si>
    <t>D1003</t>
  </si>
  <si>
    <t>Akik Tiles Ltd.</t>
  </si>
  <si>
    <t>D1002</t>
  </si>
  <si>
    <t>Sureshbhai R Patel</t>
  </si>
  <si>
    <t>D1001</t>
  </si>
  <si>
    <t>Astron Paper&amp;Board Ltd</t>
  </si>
  <si>
    <t>D908</t>
  </si>
  <si>
    <t>Nayana Rajnikant Patel</t>
  </si>
  <si>
    <t>D907</t>
  </si>
  <si>
    <t>Jitendra B Patel</t>
  </si>
  <si>
    <t>D906</t>
  </si>
  <si>
    <t>S.A. Sumara</t>
  </si>
  <si>
    <t>D905</t>
  </si>
  <si>
    <t xml:space="preserve">Tejas Manilal Patel </t>
  </si>
  <si>
    <t>D904</t>
  </si>
  <si>
    <t>Laxmiben Shantilal Shah</t>
  </si>
  <si>
    <t>D903</t>
  </si>
  <si>
    <t>Kapilaben Shakarabhai Patel</t>
  </si>
  <si>
    <t>D902</t>
  </si>
  <si>
    <t>Avadhoot Project Pvt Ltd</t>
  </si>
  <si>
    <t>D901</t>
  </si>
  <si>
    <t>Cengres Tiles Ltd.</t>
  </si>
  <si>
    <t>D807</t>
  </si>
  <si>
    <t>Vishwas Cafeteria</t>
  </si>
  <si>
    <t>D806</t>
  </si>
  <si>
    <t>Devashish Trivedi</t>
  </si>
  <si>
    <t>D805</t>
  </si>
  <si>
    <t>Shashikantbhai P Patel</t>
  </si>
  <si>
    <t>D804</t>
  </si>
  <si>
    <t>Manishaben Shah</t>
  </si>
  <si>
    <t>D803</t>
  </si>
  <si>
    <t>Samir B Dalal</t>
  </si>
  <si>
    <t>D802</t>
  </si>
  <si>
    <t>D801</t>
  </si>
  <si>
    <t>D707</t>
  </si>
  <si>
    <t>D706</t>
  </si>
  <si>
    <t>D705</t>
  </si>
  <si>
    <t>D704</t>
  </si>
  <si>
    <t>D703</t>
  </si>
  <si>
    <t>D702</t>
  </si>
  <si>
    <t>D701</t>
  </si>
  <si>
    <t>D607</t>
  </si>
  <si>
    <t>D606</t>
  </si>
  <si>
    <t>D605</t>
  </si>
  <si>
    <t>D604</t>
  </si>
  <si>
    <t>D603</t>
  </si>
  <si>
    <t>D602</t>
  </si>
  <si>
    <t>D601</t>
  </si>
  <si>
    <t>D508</t>
  </si>
  <si>
    <t>D507</t>
  </si>
  <si>
    <t>D506</t>
  </si>
  <si>
    <t>D505</t>
  </si>
  <si>
    <t>D504</t>
  </si>
  <si>
    <t>D503</t>
  </si>
  <si>
    <t>D502</t>
  </si>
  <si>
    <t>D501</t>
  </si>
  <si>
    <t>D407</t>
  </si>
  <si>
    <t>D406</t>
  </si>
  <si>
    <t>D405</t>
  </si>
  <si>
    <t>D404</t>
  </si>
  <si>
    <t>D403</t>
  </si>
  <si>
    <t>D402</t>
  </si>
  <si>
    <t>D401</t>
  </si>
  <si>
    <t>D308</t>
  </si>
  <si>
    <t>D307</t>
  </si>
  <si>
    <t>D306</t>
  </si>
  <si>
    <t>D305</t>
  </si>
  <si>
    <t>D304</t>
  </si>
  <si>
    <t>D303</t>
  </si>
  <si>
    <t>D302</t>
  </si>
  <si>
    <t>D301</t>
  </si>
  <si>
    <t>D207</t>
  </si>
  <si>
    <t>D206</t>
  </si>
  <si>
    <t>D205</t>
  </si>
  <si>
    <t>D204</t>
  </si>
  <si>
    <t>D203</t>
  </si>
  <si>
    <t>D202</t>
  </si>
  <si>
    <t>D201</t>
  </si>
  <si>
    <t>D102E</t>
  </si>
  <si>
    <t>D102D</t>
  </si>
  <si>
    <t>D102C</t>
  </si>
  <si>
    <t>D102B</t>
  </si>
  <si>
    <t>D102A</t>
  </si>
  <si>
    <t>D101</t>
  </si>
  <si>
    <t>D2G</t>
  </si>
  <si>
    <t>D2F</t>
  </si>
  <si>
    <t>D2E</t>
  </si>
  <si>
    <t>D2D</t>
  </si>
  <si>
    <t>D2C</t>
  </si>
  <si>
    <t>D2B</t>
  </si>
  <si>
    <t>D2A</t>
  </si>
  <si>
    <t>DGF1</t>
  </si>
  <si>
    <t>C1009</t>
  </si>
  <si>
    <t>C1008</t>
  </si>
  <si>
    <t>C1007</t>
  </si>
  <si>
    <t>C1006</t>
  </si>
  <si>
    <t>C1005B</t>
  </si>
  <si>
    <t>C1005A</t>
  </si>
  <si>
    <t>C1004</t>
  </si>
  <si>
    <t>C1003B</t>
  </si>
  <si>
    <t>C1003A</t>
  </si>
  <si>
    <t>C1002</t>
  </si>
  <si>
    <t>Gabon Seramik Pvt Ltd</t>
  </si>
  <si>
    <t>C1001</t>
  </si>
  <si>
    <t>J.K. Plastopack P. Ltd</t>
  </si>
  <si>
    <t>C909</t>
  </si>
  <si>
    <t>Kamlaben Patel</t>
  </si>
  <si>
    <t>C908</t>
  </si>
  <si>
    <t>Avisha Technologies</t>
  </si>
  <si>
    <t>C907</t>
  </si>
  <si>
    <t>Ansi Bytecode LLP</t>
  </si>
  <si>
    <t>C906</t>
  </si>
  <si>
    <t>Mehsana Dist Co Op Milk Pro</t>
  </si>
  <si>
    <t>C905B</t>
  </si>
  <si>
    <t xml:space="preserve">Hasmukhlal K Thakkar </t>
  </si>
  <si>
    <t>C905A</t>
  </si>
  <si>
    <t>M_S.Desai &amp; Co. Proprietor Desai Nimbeshwar Gudadram</t>
  </si>
  <si>
    <t>C904</t>
  </si>
  <si>
    <t>Nirmalaben Balkrushna Thakkar</t>
  </si>
  <si>
    <t>C903B</t>
  </si>
  <si>
    <t xml:space="preserve">Dipak Chandulal Bhavsar </t>
  </si>
  <si>
    <t>C903A</t>
  </si>
  <si>
    <t xml:space="preserve">Mr. Alpeshbhai Babubhai Patel </t>
  </si>
  <si>
    <t>C902</t>
  </si>
  <si>
    <t xml:space="preserve">Mr. Ravjibhai Nagarbhai patel </t>
  </si>
  <si>
    <t>C901</t>
  </si>
  <si>
    <t>C809</t>
  </si>
  <si>
    <t>C808</t>
  </si>
  <si>
    <t>C807</t>
  </si>
  <si>
    <t>C806</t>
  </si>
  <si>
    <t>C805B</t>
  </si>
  <si>
    <t>B.K. Patel</t>
  </si>
  <si>
    <t>C805A</t>
  </si>
  <si>
    <t xml:space="preserve">Purvi Ashish Shah </t>
  </si>
  <si>
    <t>C804B</t>
  </si>
  <si>
    <t>The Grid</t>
  </si>
  <si>
    <t>C804A</t>
  </si>
  <si>
    <t>Nathalal Babulal Jani</t>
  </si>
  <si>
    <t>C803B</t>
  </si>
  <si>
    <t>Nirav M Patel</t>
  </si>
  <si>
    <t>C803A</t>
  </si>
  <si>
    <t>Kishor P Sompura</t>
  </si>
  <si>
    <t>C802</t>
  </si>
  <si>
    <t>Jyotiba Bhavansinh Parmar</t>
  </si>
  <si>
    <t>C801</t>
  </si>
  <si>
    <t>Mamtadevi Shreykumar Dugar</t>
  </si>
  <si>
    <t>C709</t>
  </si>
  <si>
    <t>Niral Rashmikant Mehta</t>
  </si>
  <si>
    <t>C708</t>
  </si>
  <si>
    <t>Shivraj Trade Mark Pvt Ltd</t>
  </si>
  <si>
    <t>C707</t>
  </si>
  <si>
    <t>C706</t>
  </si>
  <si>
    <t>Gopiben R Patel</t>
  </si>
  <si>
    <t>C705B</t>
  </si>
  <si>
    <t>M_S.Bonita Farmaceuticals Pvt Ltd</t>
  </si>
  <si>
    <t>C705A</t>
  </si>
  <si>
    <t>Uday Amin</t>
  </si>
  <si>
    <t>C704B</t>
  </si>
  <si>
    <t>Ashaben V Darji</t>
  </si>
  <si>
    <t>C704A</t>
  </si>
  <si>
    <t>Palval Hair Transplant Clinic</t>
  </si>
  <si>
    <t>C703B</t>
  </si>
  <si>
    <t>Vardayni Organics</t>
  </si>
  <si>
    <t>C703A</t>
  </si>
  <si>
    <t>Nirav Vishnubhai Patel</t>
  </si>
  <si>
    <t>C702</t>
  </si>
  <si>
    <t>Hansaben Amrutbhai Patel</t>
  </si>
  <si>
    <t>C701</t>
  </si>
  <si>
    <t>M_S. Opulence Business Solutions Pvt Ltd</t>
  </si>
  <si>
    <t>C609B</t>
  </si>
  <si>
    <t>Rajendra R Shukla</t>
  </si>
  <si>
    <t>C609A</t>
  </si>
  <si>
    <t>Harsad Babulal Jani</t>
  </si>
  <si>
    <t>C608B</t>
  </si>
  <si>
    <t>Bharat Pesticides Industries Pv</t>
  </si>
  <si>
    <t>C608A</t>
  </si>
  <si>
    <t xml:space="preserve">Sanjay Revaram Trivedi </t>
  </si>
  <si>
    <t>C607A</t>
  </si>
  <si>
    <t>Macgray Solutions Pvt Ltd</t>
  </si>
  <si>
    <t>C606B</t>
  </si>
  <si>
    <t>Dilipbhai Patel</t>
  </si>
  <si>
    <t>C606A</t>
  </si>
  <si>
    <t>Balark Chemicals</t>
  </si>
  <si>
    <t>C605B</t>
  </si>
  <si>
    <t>Dev Chemicals</t>
  </si>
  <si>
    <t>C605A</t>
  </si>
  <si>
    <t>Ashlesha Mansukhbhai Patel</t>
  </si>
  <si>
    <t>C604C</t>
  </si>
  <si>
    <t>Maheshsingh Kushwah</t>
  </si>
  <si>
    <t>C604B</t>
  </si>
  <si>
    <t>Mukeshbhai Panchal</t>
  </si>
  <si>
    <t>C604A</t>
  </si>
  <si>
    <t xml:space="preserve">Vinod Chamanlal Vaishnavi </t>
  </si>
  <si>
    <t>C603D</t>
  </si>
  <si>
    <t>Arovea Technologies</t>
  </si>
  <si>
    <t>C603C</t>
  </si>
  <si>
    <t>Ronak Manubhai Patel</t>
  </si>
  <si>
    <t>C603B</t>
  </si>
  <si>
    <t>Sagarbhai R Desai</t>
  </si>
  <si>
    <t>C603A</t>
  </si>
  <si>
    <t>Solderma Pharma</t>
  </si>
  <si>
    <t>C602C</t>
  </si>
  <si>
    <t>Keshavlal Sohanlal Jain</t>
  </si>
  <si>
    <t>C602B</t>
  </si>
  <si>
    <t>Diamond Infracom</t>
  </si>
  <si>
    <t>C602A</t>
  </si>
  <si>
    <t>Manj &amp; Associates</t>
  </si>
  <si>
    <t>C601</t>
  </si>
  <si>
    <t>Vinodbhai Jagdishbhai Patel</t>
  </si>
  <si>
    <t>C509B</t>
  </si>
  <si>
    <t>Nisarg Jashwantbhai Patel</t>
  </si>
  <si>
    <t>C509A</t>
  </si>
  <si>
    <t>Nimit Shukla</t>
  </si>
  <si>
    <t>C508B</t>
  </si>
  <si>
    <t>Jayesh Jayantibhai Patel</t>
  </si>
  <si>
    <t>C508A</t>
  </si>
  <si>
    <t>Mit Rajendra Shah</t>
  </si>
  <si>
    <t>C507A</t>
  </si>
  <si>
    <t>Piyush N Shah</t>
  </si>
  <si>
    <t>C506B</t>
  </si>
  <si>
    <t>Nitinbhai V Patel</t>
  </si>
  <si>
    <t>C506A</t>
  </si>
  <si>
    <t xml:space="preserve">Tribhovanbhai R Patel </t>
  </si>
  <si>
    <t>C505B</t>
  </si>
  <si>
    <t>Ramdev Resins Pvt Ltd</t>
  </si>
  <si>
    <t>C505A</t>
  </si>
  <si>
    <t>C504C</t>
  </si>
  <si>
    <t xml:space="preserve">Darshan R Patel </t>
  </si>
  <si>
    <t>C504B</t>
  </si>
  <si>
    <t>Devang J Joshi</t>
  </si>
  <si>
    <t>C504A</t>
  </si>
  <si>
    <t>Nareshbhai Dahyabhai Patel</t>
  </si>
  <si>
    <t>C503D</t>
  </si>
  <si>
    <t>Poulami Pramod Patel</t>
  </si>
  <si>
    <t>C503C</t>
  </si>
  <si>
    <t xml:space="preserve">Dipalbhai G Nakrani </t>
  </si>
  <si>
    <t>C503B</t>
  </si>
  <si>
    <t>Mithilesh Singh</t>
  </si>
  <si>
    <t>C503A</t>
  </si>
  <si>
    <t>Harshaben Mineshbhai Solanki</t>
  </si>
  <si>
    <t>C502C</t>
  </si>
  <si>
    <t xml:space="preserve">Nilesh D Patel </t>
  </si>
  <si>
    <t>C502B</t>
  </si>
  <si>
    <t>Intelligent IT Hub Pvt Ltd</t>
  </si>
  <si>
    <t>C502A</t>
  </si>
  <si>
    <t>C501</t>
  </si>
  <si>
    <t>Kanchanben Pukhraj Shah</t>
  </si>
  <si>
    <t>C409</t>
  </si>
  <si>
    <t>Priyank N Gandhi</t>
  </si>
  <si>
    <t>C408</t>
  </si>
  <si>
    <t>Gaurav Mehta</t>
  </si>
  <si>
    <t>C407</t>
  </si>
  <si>
    <t>Meenu Chandramohan Kumar</t>
  </si>
  <si>
    <t>C406</t>
  </si>
  <si>
    <t>Pratibhaben Ajaykumar Shah</t>
  </si>
  <si>
    <t>C405B</t>
  </si>
  <si>
    <t>Jagdishsinh Mansinh Rao</t>
  </si>
  <si>
    <t>C405A</t>
  </si>
  <si>
    <t>Parasben J Rao</t>
  </si>
  <si>
    <t>C404</t>
  </si>
  <si>
    <t>Jigneshbhai I Barot</t>
  </si>
  <si>
    <t>C403B</t>
  </si>
  <si>
    <t>Shreemali Daxaben Maheshbhai</t>
  </si>
  <si>
    <t>C403A</t>
  </si>
  <si>
    <t>Vijaykumar Girjaprasad Thaker HUF</t>
  </si>
  <si>
    <t>C402</t>
  </si>
  <si>
    <t>Pcot Export</t>
  </si>
  <si>
    <t>C401</t>
  </si>
  <si>
    <t>Somabhai Kuberbhai Prajapati</t>
  </si>
  <si>
    <t>C309</t>
  </si>
  <si>
    <t>Manjula M Jaiswal</t>
  </si>
  <si>
    <t>C308</t>
  </si>
  <si>
    <t>Devanshi Chirag Patel</t>
  </si>
  <si>
    <t>C307</t>
  </si>
  <si>
    <t>M_s. Shiv Corporation</t>
  </si>
  <si>
    <t>C306</t>
  </si>
  <si>
    <t xml:space="preserve">Nirmalaben B Ajara </t>
  </si>
  <si>
    <t>C305B</t>
  </si>
  <si>
    <t>Ravindra Purshottamdas Patel</t>
  </si>
  <si>
    <t>C305A</t>
  </si>
  <si>
    <t>M_S.Shree Developers</t>
  </si>
  <si>
    <t>C304</t>
  </si>
  <si>
    <t>SOAR Technologies</t>
  </si>
  <si>
    <t>C303B</t>
  </si>
  <si>
    <t>Anshu Asthana</t>
  </si>
  <si>
    <t>C303A</t>
  </si>
  <si>
    <t>Harnil Oza</t>
  </si>
  <si>
    <t>C302</t>
  </si>
  <si>
    <t>Dhaval B Patel</t>
  </si>
  <si>
    <t>C301</t>
  </si>
  <si>
    <t>Vinodbhai C Patel</t>
  </si>
  <si>
    <t>C300</t>
  </si>
  <si>
    <t xml:space="preserve">Hiren M Patel </t>
  </si>
  <si>
    <t>C207</t>
  </si>
  <si>
    <t>Uniza Healthcare LLP</t>
  </si>
  <si>
    <t>C206</t>
  </si>
  <si>
    <t>Pranav Chandresh Patel</t>
  </si>
  <si>
    <t>C205</t>
  </si>
  <si>
    <t>Hyperlink Info System C_o Harni</t>
  </si>
  <si>
    <t>C204</t>
  </si>
  <si>
    <t>H.V. Infotech</t>
  </si>
  <si>
    <t>C203</t>
  </si>
  <si>
    <t>Vinodbhai</t>
  </si>
  <si>
    <t>C202</t>
  </si>
  <si>
    <t xml:space="preserve">Ashishkumar B Patel </t>
  </si>
  <si>
    <t>C201</t>
  </si>
  <si>
    <t>Yogendra M Thakore</t>
  </si>
  <si>
    <t>C113B</t>
  </si>
  <si>
    <t>Harnil Bhargav Oza</t>
  </si>
  <si>
    <t>C113A</t>
  </si>
  <si>
    <t>MellAdmin Consultancy Pvt Ltd</t>
  </si>
  <si>
    <t>C112</t>
  </si>
  <si>
    <t>M_S.Alpesh Infrastructure Pvt Ltd</t>
  </si>
  <si>
    <t>C111</t>
  </si>
  <si>
    <t>MH Xorbian Tech Pvt Ltd</t>
  </si>
  <si>
    <t>C110</t>
  </si>
  <si>
    <t xml:space="preserve">Mukeshbhai K Patel </t>
  </si>
  <si>
    <t>C109</t>
  </si>
  <si>
    <t>Monil Hasmukhbhai Parikh HUF</t>
  </si>
  <si>
    <t>C108</t>
  </si>
  <si>
    <t>Monil Hasmukhbhai Parikh</t>
  </si>
  <si>
    <t>C107</t>
  </si>
  <si>
    <t>A-J Tarunkumar Virchand Shah Huf</t>
  </si>
  <si>
    <t>C106B</t>
  </si>
  <si>
    <t>Multidots Solutions Pvt Ltd</t>
  </si>
  <si>
    <t>C106A</t>
  </si>
  <si>
    <t>C105B</t>
  </si>
  <si>
    <t>KnAdminnsense Studios LLP</t>
  </si>
  <si>
    <t>C105A</t>
  </si>
  <si>
    <t>Rajesh D Shah</t>
  </si>
  <si>
    <t>C104</t>
  </si>
  <si>
    <t>Rathin Prakashbhai Raval</t>
  </si>
  <si>
    <t>C103</t>
  </si>
  <si>
    <t>Prafulla H Gehlot</t>
  </si>
  <si>
    <t>C102</t>
  </si>
  <si>
    <t>Maheshwari Sales Corp</t>
  </si>
  <si>
    <t>C101B</t>
  </si>
  <si>
    <t xml:space="preserve">Vikram M Merani </t>
  </si>
  <si>
    <t>C101A</t>
  </si>
  <si>
    <t>Jayanti N Katariya</t>
  </si>
  <si>
    <t>C007B</t>
  </si>
  <si>
    <t>Dinesh Manoharlal Bhojwani</t>
  </si>
  <si>
    <t>C007A</t>
  </si>
  <si>
    <t>C5B</t>
  </si>
  <si>
    <t>C5A</t>
  </si>
  <si>
    <t>Arjun Sheth&amp;Associate</t>
  </si>
  <si>
    <t>C4</t>
  </si>
  <si>
    <t>Moon Technolabs</t>
  </si>
  <si>
    <t>C3</t>
  </si>
  <si>
    <t>C6</t>
  </si>
  <si>
    <t>C2</t>
  </si>
  <si>
    <t>Sapphire Software Solutions</t>
  </si>
  <si>
    <t>C1</t>
  </si>
  <si>
    <t>Sapphire Software Solution</t>
  </si>
  <si>
    <t>A401</t>
  </si>
  <si>
    <t>Shweta Suha</t>
  </si>
  <si>
    <t>A301</t>
  </si>
  <si>
    <t>Shardaben B Kavathiya</t>
  </si>
  <si>
    <t>A212B</t>
  </si>
  <si>
    <t>A212A</t>
  </si>
  <si>
    <t>Synbio Technova P. Ltd</t>
  </si>
  <si>
    <t>A212</t>
  </si>
  <si>
    <t>A211</t>
  </si>
  <si>
    <t>Pradipkumar Gupta</t>
  </si>
  <si>
    <t>A210</t>
  </si>
  <si>
    <t>Meenu Pradip Gupta</t>
  </si>
  <si>
    <t>A209D</t>
  </si>
  <si>
    <t>A. D. Patel</t>
  </si>
  <si>
    <t>A209C</t>
  </si>
  <si>
    <t>A209B</t>
  </si>
  <si>
    <t>A209A</t>
  </si>
  <si>
    <t>Ganpat University</t>
  </si>
  <si>
    <t>A208</t>
  </si>
  <si>
    <t>A207</t>
  </si>
  <si>
    <t>Vinod Jivrajbhai Chotaliya</t>
  </si>
  <si>
    <t>A206</t>
  </si>
  <si>
    <t>Meenaben Ganpatbhai Patel</t>
  </si>
  <si>
    <t>A205</t>
  </si>
  <si>
    <t>Jagdish S Dholu</t>
  </si>
  <si>
    <t>A204C</t>
  </si>
  <si>
    <t>Manjulaben Thakkar</t>
  </si>
  <si>
    <t>A204B</t>
  </si>
  <si>
    <t>Jaykumar Rajnikant Sitapara</t>
  </si>
  <si>
    <t>A204A</t>
  </si>
  <si>
    <t>Jagdishbhai Nathabhai Patel</t>
  </si>
  <si>
    <t>A203C</t>
  </si>
  <si>
    <t>A203B</t>
  </si>
  <si>
    <t>Ravi Prakash Nandubhai Patel</t>
  </si>
  <si>
    <t>A203A</t>
  </si>
  <si>
    <t>Shantibhai Prabhubhai Patel</t>
  </si>
  <si>
    <t>A202</t>
  </si>
  <si>
    <t>Shushil Shukla</t>
  </si>
  <si>
    <t>A201</t>
  </si>
  <si>
    <t>P.R. Patel&amp;Co.</t>
  </si>
  <si>
    <t>A115C</t>
  </si>
  <si>
    <t>Vipul Mahendrabhai Patel - HUF</t>
  </si>
  <si>
    <t>A115B</t>
  </si>
  <si>
    <t>Ranjanben M. Parmar</t>
  </si>
  <si>
    <t>A115A</t>
  </si>
  <si>
    <t>Gujarat Apollo Industries Ltd</t>
  </si>
  <si>
    <t>A114</t>
  </si>
  <si>
    <t>Kumaresh K Trivedi</t>
  </si>
  <si>
    <t>A112B</t>
  </si>
  <si>
    <t>Dashrathbhai K Patel</t>
  </si>
  <si>
    <t>A112A</t>
  </si>
  <si>
    <t>Satvam Nutrifoods</t>
  </si>
  <si>
    <t>A112</t>
  </si>
  <si>
    <t>Sonalika Tractor</t>
  </si>
  <si>
    <t>A111</t>
  </si>
  <si>
    <t>Chetan Control System</t>
  </si>
  <si>
    <t>A110</t>
  </si>
  <si>
    <t>Apurva Rasikbhai Kapadia</t>
  </si>
  <si>
    <t>A109</t>
  </si>
  <si>
    <t>Patel Lalitaben Pankajbhai</t>
  </si>
  <si>
    <t>A108</t>
  </si>
  <si>
    <t>Jayeshkumar Rambhai Patel</t>
  </si>
  <si>
    <t>A107</t>
  </si>
  <si>
    <t>Daksaben Sureshbhai Prajapati</t>
  </si>
  <si>
    <t>A106</t>
  </si>
  <si>
    <t>Rajkumar Patel</t>
  </si>
  <si>
    <t>A105</t>
  </si>
  <si>
    <t xml:space="preserve">Maulik Dipakkumar Shah </t>
  </si>
  <si>
    <t>A104C</t>
  </si>
  <si>
    <t>Mitesh Bhammar</t>
  </si>
  <si>
    <t>A104B</t>
  </si>
  <si>
    <t>Qodic Technosoft LLP</t>
  </si>
  <si>
    <t>A104A</t>
  </si>
  <si>
    <t>Anuj Ashokkumar Modi</t>
  </si>
  <si>
    <t>A103C</t>
  </si>
  <si>
    <t>Viaan Solutions LLP</t>
  </si>
  <si>
    <t>A103B</t>
  </si>
  <si>
    <t xml:space="preserve">Pravinbhai M Patel </t>
  </si>
  <si>
    <t>A103A</t>
  </si>
  <si>
    <t>Letsnurture Infotech Pvt Ltd</t>
  </si>
  <si>
    <t>A102</t>
  </si>
  <si>
    <t>Jayeshbhai A Patel</t>
  </si>
  <si>
    <t>A101</t>
  </si>
  <si>
    <t xml:space="preserve">Gauravkumar D Patel </t>
  </si>
  <si>
    <t>A10</t>
  </si>
  <si>
    <t>Devang Vyas</t>
  </si>
  <si>
    <t>A9</t>
  </si>
  <si>
    <t>Patel Vipul Parshottambhai</t>
  </si>
  <si>
    <t>A8</t>
  </si>
  <si>
    <t>A7</t>
  </si>
  <si>
    <t>Dashrathbhai S Patel</t>
  </si>
  <si>
    <t>A6</t>
  </si>
  <si>
    <t>BVC Logistic Pvt  Ltd</t>
  </si>
  <si>
    <t>A5C</t>
  </si>
  <si>
    <t>A5A_B</t>
  </si>
  <si>
    <t>Amit M Panchal</t>
  </si>
  <si>
    <t>A4</t>
  </si>
  <si>
    <t>A001C</t>
  </si>
  <si>
    <t>Gujarat First</t>
  </si>
  <si>
    <t>A006A</t>
  </si>
  <si>
    <t>A3A_B</t>
  </si>
  <si>
    <t>A2A_B</t>
  </si>
  <si>
    <t>A1A_B</t>
  </si>
  <si>
    <t>UnitName</t>
  </si>
  <si>
    <t>AboutFirm</t>
  </si>
  <si>
    <t>FirmProfilePicture</t>
  </si>
  <si>
    <t>FirmIcon</t>
  </si>
  <si>
    <t>FirmLogo</t>
  </si>
  <si>
    <t>FirmWebsite</t>
  </si>
  <si>
    <t>FirmEmail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</si>
  <si>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</si>
  <si>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</si>
  <si>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</si>
  <si>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</si>
  <si>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</si>
  <si>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</si>
  <si>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</si>
  <si>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ShreeSiddhi</t>
  </si>
  <si>
    <t>Office Unit</t>
  </si>
  <si>
    <t>Sapphire</t>
  </si>
  <si>
    <t>SingleUnit</t>
  </si>
  <si>
    <t>Ramdev</t>
  </si>
  <si>
    <t>Hyperlink</t>
  </si>
  <si>
    <t>IIH</t>
  </si>
  <si>
    <t>FirmTypeByHolding</t>
  </si>
  <si>
    <t>FirmTypeByLiability</t>
  </si>
  <si>
    <t>FirmTypeBySize</t>
  </si>
  <si>
    <t>FirmGroupName</t>
  </si>
  <si>
    <t>FirmTypeName</t>
  </si>
  <si>
    <t>India</t>
  </si>
  <si>
    <t>Gujarat</t>
  </si>
  <si>
    <t>Ahmedabad</t>
  </si>
  <si>
    <t>Current Office</t>
  </si>
  <si>
    <t>Off S. G. Highway</t>
  </si>
  <si>
    <t>Opp. Sola Bridge</t>
  </si>
  <si>
    <t>IsDefault</t>
  </si>
  <si>
    <t>Zipcode</t>
  </si>
  <si>
    <t>CountryName</t>
  </si>
  <si>
    <t>StateName</t>
  </si>
  <si>
    <t>CityName</t>
  </si>
  <si>
    <t>AddressType</t>
  </si>
  <si>
    <t>AddressLine3</t>
  </si>
  <si>
    <t>AddressLine2</t>
  </si>
  <si>
    <t>AddressLine1</t>
  </si>
  <si>
    <t>Office Admin</t>
  </si>
  <si>
    <t>IsLoginEnable</t>
  </si>
  <si>
    <t>IsDecisionMaker</t>
  </si>
  <si>
    <t>IsCXO</t>
  </si>
  <si>
    <t>IsBlackListed</t>
  </si>
  <si>
    <t>IsImmediateContact</t>
  </si>
  <si>
    <t>AlternateEmail</t>
  </si>
  <si>
    <t>PrimaryEmail</t>
  </si>
  <si>
    <t>AlternateContactNumber</t>
  </si>
  <si>
    <t>ContactNumber</t>
  </si>
  <si>
    <t>LastName</t>
  </si>
  <si>
    <t>MiddleName</t>
  </si>
  <si>
    <t>FirstName</t>
  </si>
  <si>
    <t>2020-03-01</t>
  </si>
  <si>
    <t>PAN</t>
  </si>
  <si>
    <t>GST</t>
  </si>
  <si>
    <t>IsForInvoice</t>
  </si>
  <si>
    <t>KYBRemarks</t>
  </si>
  <si>
    <t>KYBApprovedDate</t>
  </si>
  <si>
    <t>IsKYBApproved</t>
  </si>
  <si>
    <t>ValidFrom</t>
  </si>
  <si>
    <t>DateOfInCorporation</t>
  </si>
  <si>
    <t>KYBNumber</t>
  </si>
  <si>
    <t>KYBName</t>
  </si>
  <si>
    <t>FirmPhone</t>
  </si>
  <si>
    <t>FirmDDay</t>
  </si>
  <si>
    <t>BusinessStartDate</t>
  </si>
  <si>
    <t>Sheet Name</t>
  </si>
  <si>
    <t>05_UnitOccupierInfo</t>
  </si>
  <si>
    <t>06_UnitOccupierInternalDetail</t>
  </si>
  <si>
    <t>07_UnitOccupierOperationDetail</t>
  </si>
  <si>
    <t>08_UnitOccupierStatutoryDetail</t>
  </si>
  <si>
    <t>09_UnitOccupierAddressInfo</t>
  </si>
  <si>
    <t>10_UnitOccupierContactInfo</t>
  </si>
  <si>
    <t>11_UnitOccupierKYBInfo</t>
  </si>
  <si>
    <t>IndustryTypeName</t>
  </si>
  <si>
    <t>Co-operative Management</t>
  </si>
  <si>
    <t>BusinessEndDate</t>
  </si>
  <si>
    <t>FirmActive</t>
  </si>
  <si>
    <t>UnitOccupierName</t>
  </si>
  <si>
    <t>SystemRoleName</t>
  </si>
  <si>
    <t>DisplayIndex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</si>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</sst>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0" fillId="0" borderId="0" xfId="0" quotePrefix="1"/>
    <xf numFmtId="164" fontId="0" fillId="0" borderId="0" xfId="0" quotePrefix="1" applyNumberFormat="1"/>
    <xf numFmtId="0" fontId="2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14" fontId="0" fillId="0" borderId="0" xfId="0" applyNumberFormat="1"/>
    <xf numFmtId="0" fontId="4" fillId="0" borderId="0" xfId="0" applyFont="1" applyFill="1"/>
    <xf numFmtId="0" fontId="0" fillId="0" borderId="0" xfId="0" applyFill="1"/>
  </cellXfs>
  <cellStyles count="4"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C13" sqref="C13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7" t="s">
        <v>536</v>
      </c>
    </row>
    <row r="2" spans="1:1">
      <c r="A2" s="6" t="s">
        <v>537</v>
      </c>
    </row>
    <row r="3" spans="1:1">
      <c r="A3" s="6" t="s">
        <v>538</v>
      </c>
    </row>
    <row r="4" spans="1:1">
      <c r="A4" s="6" t="s">
        <v>539</v>
      </c>
    </row>
    <row r="5" spans="1:1">
      <c r="A5" s="6" t="s">
        <v>540</v>
      </c>
    </row>
    <row r="6" spans="1:1">
      <c r="A6" s="6" t="s">
        <v>541</v>
      </c>
    </row>
    <row r="7" spans="1:1">
      <c r="A7" s="6" t="s">
        <v>542</v>
      </c>
    </row>
    <row r="8" spans="1:1">
      <c r="A8" s="6" t="s">
        <v>543</v>
      </c>
    </row>
  </sheetData>
  <hyperlinks>
    <hyperlink ref="A5" location="'08_UnitOccupierStatutoryDetail'!A1" display="08_UnitOccupierStatutoryDetail"/>
    <hyperlink ref="A6" location="'09_UnitOccupierAddressInfo'!A1" display="09_UnitOccupierAddressInfo"/>
    <hyperlink ref="A7" location="'10_UnitOccupierContactInfo'!A1" display="10_UnitOccupierContactInfo"/>
    <hyperlink ref="A8" location="'11_UnitOccupierKYBInfo'!A1" display="11_UnitOccupierKYBInfo"/>
    <hyperlink ref="A2" location="'05_UnitOccupierInfo'!A1" display="05_UnitOccupierInfo"/>
    <hyperlink ref="A3" location="'06_UnitOccupierInternalDetail'!A1" display="06_UnitOccupierInternalDetail"/>
    <hyperlink ref="A4" location="'07_UnitOccupierOperationDetail'!A1" display="07_UnitOccupierOperationDetail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7" sqref="C7"/>
    </sheetView>
  </sheetViews>
  <sheetFormatPr defaultRowHeight="15"/>
  <cols>
    <col min="1" max="1" width="18.5703125" bestFit="1" customWidth="1"/>
    <col min="3" max="16384" width="9.140625" style="11"/>
  </cols>
  <sheetData>
    <row r="1" spans="1:3" s="10" customFormat="1">
      <c r="A1" s="7" t="s">
        <v>492</v>
      </c>
      <c r="B1" s="7" t="s">
        <v>500</v>
      </c>
      <c r="C1" s="7" t="s">
        <v>550</v>
      </c>
    </row>
    <row r="2" spans="1:3">
      <c r="A2" t="s">
        <v>485</v>
      </c>
      <c r="B2">
        <v>1</v>
      </c>
      <c r="C2" s="11">
        <v>1</v>
      </c>
    </row>
    <row r="3" spans="1:3">
      <c r="A3" t="s">
        <v>487</v>
      </c>
      <c r="B3">
        <v>0</v>
      </c>
      <c r="C3" s="11">
        <v>2</v>
      </c>
    </row>
    <row r="4" spans="1:3">
      <c r="A4" t="s">
        <v>482</v>
      </c>
      <c r="B4">
        <v>0</v>
      </c>
      <c r="C4" s="11">
        <v>3</v>
      </c>
    </row>
    <row r="5" spans="1:3">
      <c r="A5" t="s">
        <v>484</v>
      </c>
      <c r="B5">
        <v>0</v>
      </c>
      <c r="C5" s="11">
        <v>4</v>
      </c>
    </row>
    <row r="6" spans="1:3">
      <c r="A6" t="s">
        <v>486</v>
      </c>
      <c r="B6">
        <v>0</v>
      </c>
      <c r="C6" s="11">
        <v>5</v>
      </c>
    </row>
    <row r="7" spans="1:3">
      <c r="A7" t="s">
        <v>488</v>
      </c>
      <c r="B7">
        <v>0</v>
      </c>
      <c r="C7" s="11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3"/>
  <sheetViews>
    <sheetView workbookViewId="0"/>
  </sheetViews>
  <sheetFormatPr defaultRowHeight="15"/>
  <cols>
    <col min="1" max="1" width="52.85546875" bestFit="1" customWidth="1"/>
    <col min="2" max="2" width="10.7109375" bestFit="1" customWidth="1"/>
    <col min="3" max="16384" width="9.140625" style="11"/>
  </cols>
  <sheetData>
    <row r="1" spans="1:2" s="10" customFormat="1">
      <c r="A1" s="7" t="s">
        <v>548</v>
      </c>
      <c r="B1" s="7" t="s">
        <v>468</v>
      </c>
    </row>
    <row r="2" spans="1:2">
      <c r="A2" s="2" t="s">
        <v>463</v>
      </c>
      <c r="B2" s="2" t="s">
        <v>467</v>
      </c>
    </row>
    <row r="3" spans="1:2">
      <c r="A3" s="2" t="s">
        <v>463</v>
      </c>
      <c r="B3" s="1" t="s">
        <v>466</v>
      </c>
    </row>
    <row r="4" spans="1:2">
      <c r="A4" s="2" t="s">
        <v>463</v>
      </c>
      <c r="B4" s="1" t="s">
        <v>465</v>
      </c>
    </row>
    <row r="5" spans="1:2">
      <c r="A5" s="2" t="s">
        <v>463</v>
      </c>
      <c r="B5" s="2" t="s">
        <v>464</v>
      </c>
    </row>
    <row r="6" spans="1:2">
      <c r="A6" s="2" t="s">
        <v>463</v>
      </c>
      <c r="B6" s="2" t="s">
        <v>462</v>
      </c>
    </row>
    <row r="7" spans="1:2">
      <c r="A7" s="2" t="s">
        <v>382</v>
      </c>
      <c r="B7" s="1" t="s">
        <v>461</v>
      </c>
    </row>
    <row r="8" spans="1:2">
      <c r="A8" s="1" t="s">
        <v>460</v>
      </c>
      <c r="B8" s="1" t="s">
        <v>459</v>
      </c>
    </row>
    <row r="9" spans="1:2">
      <c r="A9" s="1" t="s">
        <v>457</v>
      </c>
      <c r="B9" s="1" t="s">
        <v>458</v>
      </c>
    </row>
    <row r="10" spans="1:2">
      <c r="A10" s="1" t="s">
        <v>457</v>
      </c>
      <c r="B10" s="1" t="s">
        <v>456</v>
      </c>
    </row>
    <row r="11" spans="1:2">
      <c r="A11" s="1" t="s">
        <v>455</v>
      </c>
      <c r="B11" s="1" t="s">
        <v>454</v>
      </c>
    </row>
    <row r="12" spans="1:2">
      <c r="A12" s="1" t="s">
        <v>452</v>
      </c>
      <c r="B12" s="2" t="s">
        <v>453</v>
      </c>
    </row>
    <row r="13" spans="1:2">
      <c r="A13" s="2" t="s">
        <v>452</v>
      </c>
      <c r="B13" s="1" t="s">
        <v>451</v>
      </c>
    </row>
    <row r="14" spans="1:2">
      <c r="A14" s="1" t="s">
        <v>450</v>
      </c>
      <c r="B14" s="1" t="s">
        <v>449</v>
      </c>
    </row>
    <row r="15" spans="1:2" ht="15.75">
      <c r="A15" s="3" t="s">
        <v>448</v>
      </c>
      <c r="B15" s="1" t="s">
        <v>447</v>
      </c>
    </row>
    <row r="16" spans="1:2">
      <c r="A16" s="1" t="s">
        <v>446</v>
      </c>
      <c r="B16" s="1" t="s">
        <v>445</v>
      </c>
    </row>
    <row r="17" spans="1:2">
      <c r="A17" s="1" t="s">
        <v>444</v>
      </c>
      <c r="B17" s="1" t="s">
        <v>443</v>
      </c>
    </row>
    <row r="18" spans="1:2">
      <c r="A18" s="1" t="s">
        <v>442</v>
      </c>
      <c r="B18" s="1" t="s">
        <v>441</v>
      </c>
    </row>
    <row r="19" spans="1:2">
      <c r="A19" s="2" t="s">
        <v>440</v>
      </c>
      <c r="B19" s="1" t="s">
        <v>439</v>
      </c>
    </row>
    <row r="20" spans="1:2">
      <c r="A20" s="1" t="s">
        <v>438</v>
      </c>
      <c r="B20" s="1" t="s">
        <v>437</v>
      </c>
    </row>
    <row r="21" spans="1:2">
      <c r="A21" s="1" t="s">
        <v>436</v>
      </c>
      <c r="B21" s="1" t="s">
        <v>435</v>
      </c>
    </row>
    <row r="22" spans="1:2">
      <c r="A22" s="2" t="s">
        <v>434</v>
      </c>
      <c r="B22" s="1" t="s">
        <v>433</v>
      </c>
    </row>
    <row r="23" spans="1:2">
      <c r="A23" s="1" t="s">
        <v>432</v>
      </c>
      <c r="B23" s="1" t="s">
        <v>431</v>
      </c>
    </row>
    <row r="24" spans="1:2">
      <c r="A24" s="2" t="s">
        <v>430</v>
      </c>
      <c r="B24" s="1" t="s">
        <v>429</v>
      </c>
    </row>
    <row r="25" spans="1:2">
      <c r="A25" s="1" t="s">
        <v>428</v>
      </c>
      <c r="B25" s="1" t="s">
        <v>427</v>
      </c>
    </row>
    <row r="26" spans="1:2">
      <c r="A26" s="1" t="s">
        <v>426</v>
      </c>
      <c r="B26" s="1" t="s">
        <v>425</v>
      </c>
    </row>
    <row r="27" spans="1:2">
      <c r="A27" s="1" t="s">
        <v>424</v>
      </c>
      <c r="B27" s="1" t="s">
        <v>423</v>
      </c>
    </row>
    <row r="28" spans="1:2">
      <c r="A28" s="1" t="s">
        <v>422</v>
      </c>
      <c r="B28" s="1" t="s">
        <v>421</v>
      </c>
    </row>
    <row r="29" spans="1:2">
      <c r="A29" s="1" t="s">
        <v>420</v>
      </c>
      <c r="B29" s="1" t="s">
        <v>419</v>
      </c>
    </row>
    <row r="30" spans="1:2">
      <c r="A30" s="1" t="s">
        <v>418</v>
      </c>
      <c r="B30" s="1" t="s">
        <v>417</v>
      </c>
    </row>
    <row r="31" spans="1:2">
      <c r="A31" s="1" t="s">
        <v>416</v>
      </c>
      <c r="B31" s="1" t="s">
        <v>415</v>
      </c>
    </row>
    <row r="32" spans="1:2">
      <c r="A32" s="1" t="s">
        <v>414</v>
      </c>
      <c r="B32" s="1" t="s">
        <v>413</v>
      </c>
    </row>
    <row r="33" spans="1:2">
      <c r="A33" s="1" t="s">
        <v>412</v>
      </c>
      <c r="B33" s="1" t="s">
        <v>411</v>
      </c>
    </row>
    <row r="34" spans="1:2">
      <c r="A34" s="1" t="s">
        <v>410</v>
      </c>
      <c r="B34" s="1" t="s">
        <v>409</v>
      </c>
    </row>
    <row r="35" spans="1:2">
      <c r="A35" s="1" t="s">
        <v>408</v>
      </c>
      <c r="B35" s="1" t="s">
        <v>407</v>
      </c>
    </row>
    <row r="36" spans="1:2">
      <c r="A36" s="1" t="s">
        <v>406</v>
      </c>
      <c r="B36" s="1" t="s">
        <v>405</v>
      </c>
    </row>
    <row r="37" spans="1:2">
      <c r="A37" s="2" t="s">
        <v>404</v>
      </c>
      <c r="B37" s="1" t="s">
        <v>403</v>
      </c>
    </row>
    <row r="38" spans="1:2">
      <c r="A38" s="1" t="s">
        <v>402</v>
      </c>
      <c r="B38" s="1" t="s">
        <v>401</v>
      </c>
    </row>
    <row r="39" spans="1:2">
      <c r="A39" s="1" t="s">
        <v>400</v>
      </c>
      <c r="B39" s="1" t="s">
        <v>399</v>
      </c>
    </row>
    <row r="40" spans="1:2">
      <c r="A40" s="1" t="s">
        <v>398</v>
      </c>
      <c r="B40" s="1" t="s">
        <v>397</v>
      </c>
    </row>
    <row r="41" spans="1:2">
      <c r="A41" s="1" t="s">
        <v>395</v>
      </c>
      <c r="B41" s="1" t="s">
        <v>396</v>
      </c>
    </row>
    <row r="42" spans="1:2">
      <c r="A42" s="1" t="s">
        <v>395</v>
      </c>
      <c r="B42" s="1" t="s">
        <v>394</v>
      </c>
    </row>
    <row r="43" spans="1:2">
      <c r="A43" s="1" t="s">
        <v>393</v>
      </c>
      <c r="B43" s="1" t="s">
        <v>392</v>
      </c>
    </row>
    <row r="44" spans="1:2">
      <c r="A44" s="1" t="s">
        <v>391</v>
      </c>
      <c r="B44" s="1" t="s">
        <v>390</v>
      </c>
    </row>
    <row r="45" spans="1:2">
      <c r="A45" s="1" t="s">
        <v>389</v>
      </c>
      <c r="B45" s="1" t="s">
        <v>388</v>
      </c>
    </row>
    <row r="46" spans="1:2">
      <c r="A46" s="1" t="s">
        <v>387</v>
      </c>
      <c r="B46" s="1" t="s">
        <v>386</v>
      </c>
    </row>
    <row r="47" spans="1:2">
      <c r="A47" s="1" t="s">
        <v>385</v>
      </c>
      <c r="B47" s="1" t="s">
        <v>384</v>
      </c>
    </row>
    <row r="48" spans="1:2">
      <c r="A48" s="2" t="s">
        <v>382</v>
      </c>
      <c r="B48" s="1" t="s">
        <v>383</v>
      </c>
    </row>
    <row r="49" spans="1:2">
      <c r="A49" s="2" t="s">
        <v>382</v>
      </c>
      <c r="B49" s="1" t="s">
        <v>381</v>
      </c>
    </row>
    <row r="50" spans="1:2">
      <c r="A50" s="1" t="s">
        <v>378</v>
      </c>
      <c r="B50" s="1" t="s">
        <v>380</v>
      </c>
    </row>
    <row r="51" spans="1:2">
      <c r="A51" s="1" t="s">
        <v>378</v>
      </c>
      <c r="B51" s="1" t="s">
        <v>379</v>
      </c>
    </row>
    <row r="52" spans="1:2">
      <c r="A52" s="1" t="s">
        <v>378</v>
      </c>
      <c r="B52" s="1" t="s">
        <v>377</v>
      </c>
    </row>
    <row r="53" spans="1:2">
      <c r="A53" s="1" t="s">
        <v>376</v>
      </c>
      <c r="B53" s="1" t="s">
        <v>375</v>
      </c>
    </row>
    <row r="54" spans="1:2">
      <c r="A54" s="1" t="s">
        <v>374</v>
      </c>
      <c r="B54" s="1" t="s">
        <v>373</v>
      </c>
    </row>
    <row r="55" spans="1:2">
      <c r="A55" s="2" t="s">
        <v>371</v>
      </c>
      <c r="B55" s="1" t="s">
        <v>372</v>
      </c>
    </row>
    <row r="56" spans="1:2">
      <c r="A56" s="2" t="s">
        <v>371</v>
      </c>
      <c r="B56" s="1" t="s">
        <v>370</v>
      </c>
    </row>
    <row r="57" spans="1:2">
      <c r="A57" s="1" t="s">
        <v>327</v>
      </c>
      <c r="B57" s="1" t="s">
        <v>369</v>
      </c>
    </row>
    <row r="58" spans="1:2">
      <c r="A58" s="1" t="s">
        <v>368</v>
      </c>
      <c r="B58" s="1" t="s">
        <v>367</v>
      </c>
    </row>
    <row r="59" spans="1:2">
      <c r="A59" s="1" t="s">
        <v>366</v>
      </c>
      <c r="B59" s="1" t="s">
        <v>365</v>
      </c>
    </row>
    <row r="60" spans="1:2">
      <c r="A60" s="1" t="s">
        <v>364</v>
      </c>
      <c r="B60" s="1" t="s">
        <v>363</v>
      </c>
    </row>
    <row r="61" spans="1:2">
      <c r="A61" s="2" t="s">
        <v>362</v>
      </c>
      <c r="B61" s="1" t="s">
        <v>361</v>
      </c>
    </row>
    <row r="62" spans="1:2">
      <c r="A62" s="2" t="s">
        <v>358</v>
      </c>
      <c r="B62" s="1" t="s">
        <v>360</v>
      </c>
    </row>
    <row r="63" spans="1:2">
      <c r="A63" s="2" t="s">
        <v>358</v>
      </c>
      <c r="B63" s="1" t="s">
        <v>359</v>
      </c>
    </row>
    <row r="64" spans="1:2">
      <c r="A64" s="2" t="s">
        <v>358</v>
      </c>
      <c r="B64" s="1" t="s">
        <v>357</v>
      </c>
    </row>
    <row r="65" spans="1:2">
      <c r="A65" s="2" t="s">
        <v>356</v>
      </c>
      <c r="B65" s="1" t="s">
        <v>355</v>
      </c>
    </row>
    <row r="66" spans="1:2">
      <c r="A66" s="1" t="s">
        <v>319</v>
      </c>
      <c r="B66" s="1" t="s">
        <v>354</v>
      </c>
    </row>
    <row r="67" spans="1:2">
      <c r="A67" s="1" t="s">
        <v>319</v>
      </c>
      <c r="B67" s="2" t="s">
        <v>353</v>
      </c>
    </row>
    <row r="68" spans="1:2">
      <c r="A68" s="1" t="s">
        <v>352</v>
      </c>
      <c r="B68" s="2" t="s">
        <v>351</v>
      </c>
    </row>
    <row r="69" spans="1:2">
      <c r="A69" s="2" t="s">
        <v>350</v>
      </c>
      <c r="B69" s="1" t="s">
        <v>349</v>
      </c>
    </row>
    <row r="70" spans="1:2">
      <c r="A70" s="1" t="s">
        <v>348</v>
      </c>
      <c r="B70" s="1" t="s">
        <v>347</v>
      </c>
    </row>
    <row r="71" spans="1:2">
      <c r="A71" s="1" t="s">
        <v>346</v>
      </c>
      <c r="B71" s="1" t="s">
        <v>345</v>
      </c>
    </row>
    <row r="72" spans="1:2">
      <c r="A72" s="1" t="s">
        <v>344</v>
      </c>
      <c r="B72" s="1" t="s">
        <v>343</v>
      </c>
    </row>
    <row r="73" spans="1:2">
      <c r="A73" s="1" t="s">
        <v>342</v>
      </c>
      <c r="B73" s="1" t="s">
        <v>341</v>
      </c>
    </row>
    <row r="74" spans="1:2">
      <c r="A74" s="1" t="s">
        <v>340</v>
      </c>
      <c r="B74" s="1" t="s">
        <v>339</v>
      </c>
    </row>
    <row r="75" spans="1:2">
      <c r="A75" s="1" t="s">
        <v>338</v>
      </c>
      <c r="B75" s="1" t="s">
        <v>337</v>
      </c>
    </row>
    <row r="76" spans="1:2">
      <c r="A76" s="1" t="s">
        <v>335</v>
      </c>
      <c r="B76" s="1" t="s">
        <v>336</v>
      </c>
    </row>
    <row r="77" spans="1:2">
      <c r="A77" s="1" t="s">
        <v>335</v>
      </c>
      <c r="B77" s="1" t="s">
        <v>334</v>
      </c>
    </row>
    <row r="78" spans="1:2">
      <c r="A78" s="2" t="s">
        <v>333</v>
      </c>
      <c r="B78" s="1" t="s">
        <v>332</v>
      </c>
    </row>
    <row r="79" spans="1:2">
      <c r="A79" s="2" t="s">
        <v>331</v>
      </c>
      <c r="B79" s="1" t="s">
        <v>330</v>
      </c>
    </row>
    <row r="80" spans="1:2">
      <c r="A80" s="1" t="s">
        <v>329</v>
      </c>
      <c r="B80" s="1" t="s">
        <v>328</v>
      </c>
    </row>
    <row r="81" spans="1:2">
      <c r="A81" s="1" t="s">
        <v>327</v>
      </c>
      <c r="B81" s="1" t="s">
        <v>326</v>
      </c>
    </row>
    <row r="82" spans="1:2">
      <c r="A82" s="1" t="s">
        <v>325</v>
      </c>
      <c r="B82" s="1" t="s">
        <v>324</v>
      </c>
    </row>
    <row r="83" spans="1:2">
      <c r="A83" s="1" t="s">
        <v>323</v>
      </c>
      <c r="B83" s="1" t="s">
        <v>322</v>
      </c>
    </row>
    <row r="84" spans="1:2">
      <c r="A84" s="1" t="s">
        <v>321</v>
      </c>
      <c r="B84" s="1" t="s">
        <v>320</v>
      </c>
    </row>
    <row r="85" spans="1:2">
      <c r="A85" s="1" t="s">
        <v>319</v>
      </c>
      <c r="B85" s="1" t="s">
        <v>318</v>
      </c>
    </row>
    <row r="86" spans="1:2">
      <c r="A86" s="1" t="s">
        <v>317</v>
      </c>
      <c r="B86" s="1" t="s">
        <v>316</v>
      </c>
    </row>
    <row r="87" spans="1:2">
      <c r="A87" s="1" t="s">
        <v>315</v>
      </c>
      <c r="B87" s="1" t="s">
        <v>314</v>
      </c>
    </row>
    <row r="88" spans="1:2">
      <c r="A88" s="2" t="s">
        <v>313</v>
      </c>
      <c r="B88" s="1" t="s">
        <v>312</v>
      </c>
    </row>
    <row r="89" spans="1:2">
      <c r="A89" s="2" t="s">
        <v>311</v>
      </c>
      <c r="B89" s="1" t="s">
        <v>310</v>
      </c>
    </row>
    <row r="90" spans="1:2">
      <c r="A90" s="2" t="s">
        <v>309</v>
      </c>
      <c r="B90" s="1" t="s">
        <v>308</v>
      </c>
    </row>
    <row r="91" spans="1:2">
      <c r="A91" s="1" t="s">
        <v>307</v>
      </c>
      <c r="B91" s="1" t="s">
        <v>306</v>
      </c>
    </row>
    <row r="92" spans="1:2">
      <c r="A92" s="1" t="s">
        <v>305</v>
      </c>
      <c r="B92" s="1" t="s">
        <v>304</v>
      </c>
    </row>
    <row r="93" spans="1:2">
      <c r="A93" s="1" t="s">
        <v>303</v>
      </c>
      <c r="B93" s="1" t="s">
        <v>302</v>
      </c>
    </row>
    <row r="94" spans="1:2">
      <c r="A94" s="1" t="s">
        <v>301</v>
      </c>
      <c r="B94" s="1" t="s">
        <v>300</v>
      </c>
    </row>
    <row r="95" spans="1:2">
      <c r="A95" s="2" t="s">
        <v>299</v>
      </c>
      <c r="B95" s="1" t="s">
        <v>298</v>
      </c>
    </row>
    <row r="96" spans="1:2">
      <c r="A96" s="2" t="s">
        <v>297</v>
      </c>
      <c r="B96" s="1" t="s">
        <v>296</v>
      </c>
    </row>
    <row r="97" spans="1:2">
      <c r="A97" s="2" t="s">
        <v>295</v>
      </c>
      <c r="B97" s="1" t="s">
        <v>294</v>
      </c>
    </row>
    <row r="98" spans="1:2">
      <c r="A98" s="2" t="s">
        <v>293</v>
      </c>
      <c r="B98" s="1" t="s">
        <v>292</v>
      </c>
    </row>
    <row r="99" spans="1:2">
      <c r="A99" s="1" t="s">
        <v>291</v>
      </c>
      <c r="B99" s="1" t="s">
        <v>290</v>
      </c>
    </row>
    <row r="100" spans="1:2">
      <c r="A100" s="1" t="s">
        <v>289</v>
      </c>
      <c r="B100" s="1" t="s">
        <v>288</v>
      </c>
    </row>
    <row r="101" spans="1:2">
      <c r="A101" s="1" t="s">
        <v>287</v>
      </c>
      <c r="B101" s="1" t="s">
        <v>286</v>
      </c>
    </row>
    <row r="102" spans="1:2">
      <c r="A102" s="1" t="s">
        <v>285</v>
      </c>
      <c r="B102" s="1" t="s">
        <v>284</v>
      </c>
    </row>
    <row r="103" spans="1:2">
      <c r="A103" s="1" t="s">
        <v>283</v>
      </c>
      <c r="B103" s="1" t="s">
        <v>282</v>
      </c>
    </row>
    <row r="104" spans="1:2">
      <c r="A104" s="1" t="s">
        <v>281</v>
      </c>
      <c r="B104" s="1" t="s">
        <v>280</v>
      </c>
    </row>
    <row r="105" spans="1:2">
      <c r="A105" s="1" t="s">
        <v>279</v>
      </c>
      <c r="B105" s="1" t="s">
        <v>278</v>
      </c>
    </row>
    <row r="106" spans="1:2">
      <c r="A106" s="1" t="s">
        <v>277</v>
      </c>
      <c r="B106" s="1" t="s">
        <v>276</v>
      </c>
    </row>
    <row r="107" spans="1:2">
      <c r="A107" s="1" t="s">
        <v>275</v>
      </c>
      <c r="B107" s="1" t="s">
        <v>274</v>
      </c>
    </row>
    <row r="108" spans="1:2">
      <c r="A108" s="1" t="s">
        <v>273</v>
      </c>
      <c r="B108" s="1" t="s">
        <v>272</v>
      </c>
    </row>
    <row r="109" spans="1:2">
      <c r="A109" s="1" t="s">
        <v>271</v>
      </c>
      <c r="B109" s="1" t="s">
        <v>270</v>
      </c>
    </row>
    <row r="110" spans="1:2">
      <c r="A110" s="1" t="s">
        <v>269</v>
      </c>
      <c r="B110" s="1" t="s">
        <v>268</v>
      </c>
    </row>
    <row r="111" spans="1:2">
      <c r="A111" s="1" t="s">
        <v>267</v>
      </c>
      <c r="B111" s="1" t="s">
        <v>266</v>
      </c>
    </row>
    <row r="112" spans="1:2">
      <c r="A112" s="1" t="s">
        <v>265</v>
      </c>
      <c r="B112" s="1" t="s">
        <v>264</v>
      </c>
    </row>
    <row r="113" spans="1:2">
      <c r="A113" s="1" t="s">
        <v>263</v>
      </c>
      <c r="B113" s="1" t="s">
        <v>262</v>
      </c>
    </row>
    <row r="114" spans="1:2">
      <c r="A114" s="1" t="s">
        <v>261</v>
      </c>
      <c r="B114" s="1" t="s">
        <v>260</v>
      </c>
    </row>
    <row r="115" spans="1:2">
      <c r="A115" s="1" t="s">
        <v>259</v>
      </c>
      <c r="B115" s="1" t="s">
        <v>258</v>
      </c>
    </row>
    <row r="116" spans="1:2">
      <c r="A116" s="1" t="s">
        <v>257</v>
      </c>
      <c r="B116" s="1" t="s">
        <v>256</v>
      </c>
    </row>
    <row r="117" spans="1:2">
      <c r="A117" s="1" t="s">
        <v>254</v>
      </c>
      <c r="B117" s="1" t="s">
        <v>255</v>
      </c>
    </row>
    <row r="118" spans="1:2">
      <c r="A118" s="1" t="s">
        <v>254</v>
      </c>
      <c r="B118" s="1" t="s">
        <v>253</v>
      </c>
    </row>
    <row r="119" spans="1:2">
      <c r="A119" s="1" t="s">
        <v>252</v>
      </c>
      <c r="B119" s="1" t="s">
        <v>251</v>
      </c>
    </row>
    <row r="120" spans="1:2">
      <c r="A120" s="1" t="s">
        <v>250</v>
      </c>
      <c r="B120" s="1" t="s">
        <v>249</v>
      </c>
    </row>
    <row r="121" spans="1:2">
      <c r="A121" s="1" t="s">
        <v>248</v>
      </c>
      <c r="B121" s="1" t="s">
        <v>247</v>
      </c>
    </row>
    <row r="122" spans="1:2">
      <c r="A122" s="1" t="s">
        <v>246</v>
      </c>
      <c r="B122" s="1" t="s">
        <v>245</v>
      </c>
    </row>
    <row r="123" spans="1:2">
      <c r="A123" s="1" t="s">
        <v>244</v>
      </c>
      <c r="B123" s="1" t="s">
        <v>243</v>
      </c>
    </row>
    <row r="124" spans="1:2">
      <c r="A124" s="1" t="s">
        <v>242</v>
      </c>
      <c r="B124" s="1" t="s">
        <v>241</v>
      </c>
    </row>
    <row r="125" spans="1:2">
      <c r="A125" s="1" t="s">
        <v>240</v>
      </c>
      <c r="B125" s="1" t="s">
        <v>239</v>
      </c>
    </row>
    <row r="126" spans="1:2">
      <c r="A126" s="1" t="s">
        <v>238</v>
      </c>
      <c r="B126" s="1" t="s">
        <v>237</v>
      </c>
    </row>
    <row r="127" spans="1:2">
      <c r="A127" s="1" t="s">
        <v>235</v>
      </c>
      <c r="B127" s="1" t="s">
        <v>236</v>
      </c>
    </row>
    <row r="128" spans="1:2">
      <c r="A128" s="1" t="s">
        <v>235</v>
      </c>
      <c r="B128" s="1" t="s">
        <v>234</v>
      </c>
    </row>
    <row r="129" spans="1:2">
      <c r="A129" s="1" t="s">
        <v>233</v>
      </c>
      <c r="B129" s="1" t="s">
        <v>232</v>
      </c>
    </row>
    <row r="130" spans="1:2">
      <c r="A130" s="1" t="s">
        <v>231</v>
      </c>
      <c r="B130" s="1" t="s">
        <v>230</v>
      </c>
    </row>
    <row r="131" spans="1:2">
      <c r="A131" s="1" t="s">
        <v>229</v>
      </c>
      <c r="B131" s="1" t="s">
        <v>228</v>
      </c>
    </row>
    <row r="132" spans="1:2">
      <c r="A132" s="1" t="s">
        <v>227</v>
      </c>
      <c r="B132" s="1" t="s">
        <v>226</v>
      </c>
    </row>
    <row r="133" spans="1:2">
      <c r="A133" s="1" t="s">
        <v>225</v>
      </c>
      <c r="B133" s="1" t="s">
        <v>224</v>
      </c>
    </row>
    <row r="134" spans="1:2">
      <c r="A134" s="1" t="s">
        <v>223</v>
      </c>
      <c r="B134" s="1" t="s">
        <v>222</v>
      </c>
    </row>
    <row r="135" spans="1:2">
      <c r="A135" s="2" t="s">
        <v>221</v>
      </c>
      <c r="B135" s="1" t="s">
        <v>220</v>
      </c>
    </row>
    <row r="136" spans="1:2">
      <c r="A136" s="1" t="s">
        <v>219</v>
      </c>
      <c r="B136" s="1" t="s">
        <v>218</v>
      </c>
    </row>
    <row r="137" spans="1:2">
      <c r="A137" s="1" t="s">
        <v>217</v>
      </c>
      <c r="B137" s="1" t="s">
        <v>216</v>
      </c>
    </row>
    <row r="138" spans="1:2">
      <c r="A138" s="1" t="s">
        <v>215</v>
      </c>
      <c r="B138" s="1" t="s">
        <v>214</v>
      </c>
    </row>
    <row r="139" spans="1:2">
      <c r="A139" s="1" t="s">
        <v>213</v>
      </c>
      <c r="B139" s="1" t="s">
        <v>212</v>
      </c>
    </row>
    <row r="140" spans="1:2">
      <c r="A140" s="1" t="s">
        <v>211</v>
      </c>
      <c r="B140" s="1" t="s">
        <v>210</v>
      </c>
    </row>
    <row r="141" spans="1:2">
      <c r="A141" s="1" t="s">
        <v>209</v>
      </c>
      <c r="B141" s="1" t="s">
        <v>208</v>
      </c>
    </row>
    <row r="142" spans="1:2">
      <c r="A142" s="1" t="s">
        <v>207</v>
      </c>
      <c r="B142" s="1" t="s">
        <v>206</v>
      </c>
    </row>
    <row r="143" spans="1:2">
      <c r="A143" s="1" t="s">
        <v>205</v>
      </c>
      <c r="B143" s="1" t="s">
        <v>204</v>
      </c>
    </row>
    <row r="144" spans="1:2">
      <c r="A144" s="1" t="s">
        <v>203</v>
      </c>
      <c r="B144" s="1" t="s">
        <v>202</v>
      </c>
    </row>
    <row r="145" spans="1:2">
      <c r="A145" s="1" t="s">
        <v>201</v>
      </c>
      <c r="B145" s="1" t="s">
        <v>200</v>
      </c>
    </row>
    <row r="146" spans="1:2">
      <c r="A146" s="1" t="s">
        <v>199</v>
      </c>
      <c r="B146" s="1" t="s">
        <v>198</v>
      </c>
    </row>
    <row r="147" spans="1:2">
      <c r="A147" s="1" t="s">
        <v>197</v>
      </c>
      <c r="B147" s="1" t="s">
        <v>196</v>
      </c>
    </row>
    <row r="148" spans="1:2">
      <c r="A148" s="1" t="s">
        <v>195</v>
      </c>
      <c r="B148" s="1" t="s">
        <v>194</v>
      </c>
    </row>
    <row r="149" spans="1:2">
      <c r="A149" s="1" t="s">
        <v>193</v>
      </c>
      <c r="B149" s="1" t="s">
        <v>192</v>
      </c>
    </row>
    <row r="150" spans="1:2">
      <c r="A150" s="1" t="s">
        <v>191</v>
      </c>
      <c r="B150" s="1" t="s">
        <v>190</v>
      </c>
    </row>
    <row r="151" spans="1:2">
      <c r="A151" s="1" t="s">
        <v>189</v>
      </c>
      <c r="B151" s="1" t="s">
        <v>188</v>
      </c>
    </row>
    <row r="152" spans="1:2">
      <c r="A152" s="1" t="s">
        <v>187</v>
      </c>
      <c r="B152" s="1" t="s">
        <v>186</v>
      </c>
    </row>
    <row r="153" spans="1:2">
      <c r="A153" s="1" t="s">
        <v>185</v>
      </c>
      <c r="B153" s="1" t="s">
        <v>184</v>
      </c>
    </row>
    <row r="154" spans="1:2">
      <c r="A154" s="1" t="s">
        <v>183</v>
      </c>
      <c r="B154" s="1" t="s">
        <v>182</v>
      </c>
    </row>
    <row r="155" spans="1:2">
      <c r="A155" s="1" t="s">
        <v>181</v>
      </c>
      <c r="B155" s="1" t="s">
        <v>180</v>
      </c>
    </row>
    <row r="156" spans="1:2">
      <c r="A156" s="1" t="s">
        <v>179</v>
      </c>
      <c r="B156" s="1" t="s">
        <v>178</v>
      </c>
    </row>
    <row r="157" spans="1:2">
      <c r="A157" s="2" t="s">
        <v>177</v>
      </c>
      <c r="B157" s="1" t="s">
        <v>176</v>
      </c>
    </row>
    <row r="158" spans="1:2">
      <c r="A158" s="1" t="s">
        <v>175</v>
      </c>
      <c r="B158" s="1" t="s">
        <v>174</v>
      </c>
    </row>
    <row r="159" spans="1:2">
      <c r="A159" s="1" t="s">
        <v>173</v>
      </c>
      <c r="B159" s="1" t="s">
        <v>172</v>
      </c>
    </row>
    <row r="160" spans="1:2">
      <c r="A160" s="1" t="s">
        <v>171</v>
      </c>
      <c r="B160" s="1" t="s">
        <v>170</v>
      </c>
    </row>
    <row r="161" spans="1:2">
      <c r="A161" s="1" t="s">
        <v>169</v>
      </c>
      <c r="B161" s="1" t="s">
        <v>168</v>
      </c>
    </row>
    <row r="162" spans="1:2">
      <c r="A162" s="2" t="s">
        <v>167</v>
      </c>
      <c r="B162" s="1" t="s">
        <v>166</v>
      </c>
    </row>
    <row r="163" spans="1:2">
      <c r="A163" s="1" t="s">
        <v>165</v>
      </c>
      <c r="B163" s="1" t="s">
        <v>164</v>
      </c>
    </row>
    <row r="164" spans="1:2">
      <c r="A164" s="1" t="s">
        <v>163</v>
      </c>
      <c r="B164" s="1" t="s">
        <v>162</v>
      </c>
    </row>
    <row r="165" spans="1:2">
      <c r="A165" s="1" t="s">
        <v>146</v>
      </c>
      <c r="B165" s="1" t="s">
        <v>161</v>
      </c>
    </row>
    <row r="166" spans="1:2">
      <c r="A166" s="1" t="s">
        <v>160</v>
      </c>
      <c r="B166" s="1" t="s">
        <v>159</v>
      </c>
    </row>
    <row r="167" spans="1:2">
      <c r="A167" s="1" t="s">
        <v>158</v>
      </c>
      <c r="B167" s="1" t="s">
        <v>157</v>
      </c>
    </row>
    <row r="168" spans="1:2">
      <c r="A168" s="2" t="s">
        <v>156</v>
      </c>
      <c r="B168" s="1" t="s">
        <v>155</v>
      </c>
    </row>
    <row r="169" spans="1:2">
      <c r="A169" s="2" t="s">
        <v>154</v>
      </c>
      <c r="B169" s="1" t="s">
        <v>153</v>
      </c>
    </row>
    <row r="170" spans="1:2">
      <c r="A170" s="1" t="s">
        <v>152</v>
      </c>
      <c r="B170" s="1" t="s">
        <v>151</v>
      </c>
    </row>
    <row r="171" spans="1:2">
      <c r="A171" s="1" t="s">
        <v>150</v>
      </c>
      <c r="B171" s="1" t="s">
        <v>149</v>
      </c>
    </row>
    <row r="172" spans="1:2">
      <c r="A172" s="1" t="s">
        <v>148</v>
      </c>
      <c r="B172" s="1" t="s">
        <v>147</v>
      </c>
    </row>
    <row r="173" spans="1:2">
      <c r="A173" s="1" t="s">
        <v>146</v>
      </c>
      <c r="B173" s="1" t="s">
        <v>145</v>
      </c>
    </row>
    <row r="174" spans="1:2">
      <c r="A174" s="1" t="s">
        <v>144</v>
      </c>
      <c r="B174" s="1" t="s">
        <v>143</v>
      </c>
    </row>
    <row r="175" spans="1:2">
      <c r="A175" s="2" t="s">
        <v>142</v>
      </c>
      <c r="B175" s="1" t="s">
        <v>141</v>
      </c>
    </row>
    <row r="176" spans="1:2">
      <c r="A176" s="1" t="s">
        <v>135</v>
      </c>
      <c r="B176" s="1" t="s">
        <v>140</v>
      </c>
    </row>
    <row r="177" spans="1:2">
      <c r="A177" s="1" t="s">
        <v>135</v>
      </c>
      <c r="B177" s="1" t="s">
        <v>139</v>
      </c>
    </row>
    <row r="178" spans="1:2">
      <c r="A178" s="1" t="s">
        <v>135</v>
      </c>
      <c r="B178" s="1" t="s">
        <v>138</v>
      </c>
    </row>
    <row r="179" spans="1:2">
      <c r="A179" s="1" t="s">
        <v>135</v>
      </c>
      <c r="B179" s="1" t="s">
        <v>137</v>
      </c>
    </row>
    <row r="180" spans="1:2">
      <c r="A180" s="1" t="s">
        <v>135</v>
      </c>
      <c r="B180" s="1" t="s">
        <v>136</v>
      </c>
    </row>
    <row r="181" spans="1:2">
      <c r="A181" s="1" t="s">
        <v>135</v>
      </c>
      <c r="B181" s="1" t="s">
        <v>134</v>
      </c>
    </row>
    <row r="182" spans="1:2">
      <c r="A182" s="1" t="s">
        <v>133</v>
      </c>
      <c r="B182" s="1" t="s">
        <v>132</v>
      </c>
    </row>
    <row r="183" spans="1:2">
      <c r="A183" s="2" t="s">
        <v>131</v>
      </c>
      <c r="B183" s="1" t="s">
        <v>130</v>
      </c>
    </row>
    <row r="184" spans="1:2">
      <c r="A184" s="2" t="s">
        <v>129</v>
      </c>
      <c r="B184" s="1" t="s">
        <v>128</v>
      </c>
    </row>
    <row r="185" spans="1:2">
      <c r="A185" s="1" t="s">
        <v>127</v>
      </c>
      <c r="B185" s="1" t="s">
        <v>126</v>
      </c>
    </row>
    <row r="186" spans="1:2">
      <c r="A186" s="2" t="s">
        <v>125</v>
      </c>
      <c r="B186" s="1" t="s">
        <v>124</v>
      </c>
    </row>
    <row r="187" spans="1:2">
      <c r="A187" s="2" t="s">
        <v>123</v>
      </c>
      <c r="B187" s="1" t="s">
        <v>122</v>
      </c>
    </row>
    <row r="188" spans="1:2">
      <c r="A188" s="2" t="s">
        <v>121</v>
      </c>
      <c r="B188" s="1" t="s">
        <v>120</v>
      </c>
    </row>
    <row r="189" spans="1:2">
      <c r="A189" s="2" t="s">
        <v>119</v>
      </c>
      <c r="B189" s="1" t="s">
        <v>118</v>
      </c>
    </row>
    <row r="190" spans="1:2">
      <c r="A190" s="2" t="s">
        <v>117</v>
      </c>
      <c r="B190" s="1" t="s">
        <v>116</v>
      </c>
    </row>
    <row r="191" spans="1:2">
      <c r="A191" s="2" t="s">
        <v>115</v>
      </c>
      <c r="B191" s="1" t="s">
        <v>114</v>
      </c>
    </row>
    <row r="192" spans="1:2">
      <c r="A192" s="2" t="s">
        <v>113</v>
      </c>
      <c r="B192" s="1" t="s">
        <v>112</v>
      </c>
    </row>
    <row r="193" spans="1:2">
      <c r="A193" s="2" t="s">
        <v>42</v>
      </c>
      <c r="B193" s="1" t="s">
        <v>111</v>
      </c>
    </row>
    <row r="194" spans="1:2">
      <c r="A194" s="2" t="s">
        <v>40</v>
      </c>
      <c r="B194" s="1" t="s">
        <v>110</v>
      </c>
    </row>
    <row r="195" spans="1:2">
      <c r="A195" s="2" t="s">
        <v>38</v>
      </c>
      <c r="B195" s="1" t="s">
        <v>109</v>
      </c>
    </row>
    <row r="196" spans="1:2">
      <c r="A196" s="2" t="s">
        <v>36</v>
      </c>
      <c r="B196" s="1" t="s">
        <v>108</v>
      </c>
    </row>
    <row r="197" spans="1:2">
      <c r="A197" s="2" t="s">
        <v>34</v>
      </c>
      <c r="B197" s="1" t="s">
        <v>107</v>
      </c>
    </row>
    <row r="198" spans="1:2">
      <c r="A198" s="2" t="s">
        <v>32</v>
      </c>
      <c r="B198" s="1" t="s">
        <v>106</v>
      </c>
    </row>
    <row r="199" spans="1:2">
      <c r="A199" s="1" t="s">
        <v>30</v>
      </c>
      <c r="B199" s="1" t="s">
        <v>105</v>
      </c>
    </row>
    <row r="200" spans="1:2">
      <c r="A200" s="2" t="s">
        <v>28</v>
      </c>
      <c r="B200" s="1" t="s">
        <v>104</v>
      </c>
    </row>
    <row r="201" spans="1:2">
      <c r="A201" s="2" t="s">
        <v>26</v>
      </c>
      <c r="B201" s="1" t="s">
        <v>103</v>
      </c>
    </row>
    <row r="202" spans="1:2">
      <c r="A202" s="1" t="s">
        <v>24</v>
      </c>
      <c r="B202" s="1" t="s">
        <v>102</v>
      </c>
    </row>
    <row r="203" spans="1:2">
      <c r="A203" s="2" t="s">
        <v>22</v>
      </c>
      <c r="B203" s="1" t="s">
        <v>101</v>
      </c>
    </row>
    <row r="204" spans="1:2">
      <c r="A204" s="2" t="s">
        <v>20</v>
      </c>
      <c r="B204" s="1" t="s">
        <v>100</v>
      </c>
    </row>
    <row r="205" spans="1:2">
      <c r="A205" s="2" t="s">
        <v>18</v>
      </c>
      <c r="B205" s="1" t="s">
        <v>99</v>
      </c>
    </row>
    <row r="206" spans="1:2">
      <c r="A206" s="2" t="s">
        <v>16</v>
      </c>
      <c r="B206" s="1" t="s">
        <v>98</v>
      </c>
    </row>
    <row r="207" spans="1:2">
      <c r="A207" s="2" t="s">
        <v>14</v>
      </c>
      <c r="B207" s="1" t="s">
        <v>97</v>
      </c>
    </row>
    <row r="208" spans="1:2">
      <c r="A208" s="2" t="s">
        <v>12</v>
      </c>
      <c r="B208" s="1" t="s">
        <v>96</v>
      </c>
    </row>
    <row r="209" spans="1:2">
      <c r="A209" s="1" t="s">
        <v>10</v>
      </c>
      <c r="B209" s="1" t="s">
        <v>95</v>
      </c>
    </row>
    <row r="210" spans="1:2">
      <c r="A210" s="2" t="s">
        <v>8</v>
      </c>
      <c r="B210" s="1" t="s">
        <v>94</v>
      </c>
    </row>
    <row r="211" spans="1:2">
      <c r="A211" s="2" t="s">
        <v>6</v>
      </c>
      <c r="B211" s="1" t="s">
        <v>93</v>
      </c>
    </row>
    <row r="212" spans="1:2">
      <c r="A212" s="2" t="s">
        <v>3</v>
      </c>
      <c r="B212" s="1" t="s">
        <v>92</v>
      </c>
    </row>
    <row r="213" spans="1:2">
      <c r="A213" s="2" t="s">
        <v>3</v>
      </c>
      <c r="B213" s="1" t="s">
        <v>91</v>
      </c>
    </row>
    <row r="214" spans="1:2">
      <c r="A214" s="2" t="s">
        <v>1</v>
      </c>
      <c r="B214" s="1" t="s">
        <v>90</v>
      </c>
    </row>
    <row r="215" spans="1:2">
      <c r="A215" s="1" t="s">
        <v>6</v>
      </c>
      <c r="B215" s="1" t="s">
        <v>89</v>
      </c>
    </row>
    <row r="216" spans="1:2">
      <c r="A216" s="2" t="s">
        <v>42</v>
      </c>
      <c r="B216" s="1" t="s">
        <v>88</v>
      </c>
    </row>
    <row r="217" spans="1:2">
      <c r="A217" s="2" t="s">
        <v>40</v>
      </c>
      <c r="B217" s="1" t="s">
        <v>87</v>
      </c>
    </row>
    <row r="218" spans="1:2">
      <c r="A218" s="2" t="s">
        <v>38</v>
      </c>
      <c r="B218" s="1" t="s">
        <v>86</v>
      </c>
    </row>
    <row r="219" spans="1:2">
      <c r="A219" s="2" t="s">
        <v>36</v>
      </c>
      <c r="B219" s="1" t="s">
        <v>85</v>
      </c>
    </row>
    <row r="220" spans="1:2">
      <c r="A220" s="2" t="s">
        <v>34</v>
      </c>
      <c r="B220" s="1" t="s">
        <v>84</v>
      </c>
    </row>
    <row r="221" spans="1:2">
      <c r="A221" s="2" t="s">
        <v>32</v>
      </c>
      <c r="B221" s="1" t="s">
        <v>83</v>
      </c>
    </row>
    <row r="222" spans="1:2">
      <c r="A222" s="1" t="s">
        <v>30</v>
      </c>
      <c r="B222" s="1" t="s">
        <v>82</v>
      </c>
    </row>
    <row r="223" spans="1:2">
      <c r="A223" s="2" t="s">
        <v>28</v>
      </c>
      <c r="B223" s="1" t="s">
        <v>81</v>
      </c>
    </row>
    <row r="224" spans="1:2">
      <c r="A224" s="2" t="s">
        <v>26</v>
      </c>
      <c r="B224" s="1" t="s">
        <v>80</v>
      </c>
    </row>
    <row r="225" spans="1:2">
      <c r="A225" s="1" t="s">
        <v>24</v>
      </c>
      <c r="B225" s="1" t="s">
        <v>79</v>
      </c>
    </row>
    <row r="226" spans="1:2">
      <c r="A226" s="2" t="s">
        <v>22</v>
      </c>
      <c r="B226" s="1" t="s">
        <v>78</v>
      </c>
    </row>
    <row r="227" spans="1:2">
      <c r="A227" s="2" t="s">
        <v>20</v>
      </c>
      <c r="B227" s="1" t="s">
        <v>77</v>
      </c>
    </row>
    <row r="228" spans="1:2">
      <c r="A228" s="2" t="s">
        <v>18</v>
      </c>
      <c r="B228" s="1" t="s">
        <v>76</v>
      </c>
    </row>
    <row r="229" spans="1:2">
      <c r="A229" s="2" t="s">
        <v>16</v>
      </c>
      <c r="B229" s="1" t="s">
        <v>75</v>
      </c>
    </row>
    <row r="230" spans="1:2">
      <c r="A230" s="2" t="s">
        <v>14</v>
      </c>
      <c r="B230" s="1" t="s">
        <v>74</v>
      </c>
    </row>
    <row r="231" spans="1:2">
      <c r="A231" s="2" t="s">
        <v>12</v>
      </c>
      <c r="B231" s="1" t="s">
        <v>73</v>
      </c>
    </row>
    <row r="232" spans="1:2">
      <c r="A232" s="1" t="s">
        <v>10</v>
      </c>
      <c r="B232" s="1" t="s">
        <v>72</v>
      </c>
    </row>
    <row r="233" spans="1:2">
      <c r="A233" s="2" t="s">
        <v>8</v>
      </c>
      <c r="B233" s="1" t="s">
        <v>71</v>
      </c>
    </row>
    <row r="234" spans="1:2">
      <c r="A234" s="2" t="s">
        <v>6</v>
      </c>
      <c r="B234" s="1" t="s">
        <v>70</v>
      </c>
    </row>
    <row r="235" spans="1:2">
      <c r="A235" s="2" t="s">
        <v>3</v>
      </c>
      <c r="B235" s="1" t="s">
        <v>69</v>
      </c>
    </row>
    <row r="236" spans="1:2">
      <c r="A236" s="2" t="s">
        <v>3</v>
      </c>
      <c r="B236" s="1" t="s">
        <v>68</v>
      </c>
    </row>
    <row r="237" spans="1:2">
      <c r="A237" s="2" t="s">
        <v>1</v>
      </c>
      <c r="B237" s="1" t="s">
        <v>67</v>
      </c>
    </row>
    <row r="238" spans="1:2">
      <c r="A238" s="1" t="s">
        <v>6</v>
      </c>
      <c r="B238" s="1" t="s">
        <v>66</v>
      </c>
    </row>
    <row r="239" spans="1:2">
      <c r="A239" s="2" t="s">
        <v>42</v>
      </c>
      <c r="B239" s="1" t="s">
        <v>65</v>
      </c>
    </row>
    <row r="240" spans="1:2">
      <c r="A240" s="2" t="s">
        <v>40</v>
      </c>
      <c r="B240" s="1" t="s">
        <v>64</v>
      </c>
    </row>
    <row r="241" spans="1:2">
      <c r="A241" s="2" t="s">
        <v>38</v>
      </c>
      <c r="B241" s="1" t="s">
        <v>63</v>
      </c>
    </row>
    <row r="242" spans="1:2">
      <c r="A242" s="2" t="s">
        <v>36</v>
      </c>
      <c r="B242" s="1" t="s">
        <v>62</v>
      </c>
    </row>
    <row r="243" spans="1:2">
      <c r="A243" s="2" t="s">
        <v>34</v>
      </c>
      <c r="B243" s="1" t="s">
        <v>61</v>
      </c>
    </row>
    <row r="244" spans="1:2">
      <c r="A244" s="2" t="s">
        <v>32</v>
      </c>
      <c r="B244" s="1" t="s">
        <v>60</v>
      </c>
    </row>
    <row r="245" spans="1:2">
      <c r="A245" s="1" t="s">
        <v>30</v>
      </c>
      <c r="B245" s="1" t="s">
        <v>59</v>
      </c>
    </row>
    <row r="246" spans="1:2">
      <c r="A246" s="2" t="s">
        <v>28</v>
      </c>
      <c r="B246" s="1" t="s">
        <v>58</v>
      </c>
    </row>
    <row r="247" spans="1:2">
      <c r="A247" s="2" t="s">
        <v>26</v>
      </c>
      <c r="B247" s="1" t="s">
        <v>57</v>
      </c>
    </row>
    <row r="248" spans="1:2">
      <c r="A248" s="1" t="s">
        <v>24</v>
      </c>
      <c r="B248" s="1" t="s">
        <v>56</v>
      </c>
    </row>
    <row r="249" spans="1:2">
      <c r="A249" s="2" t="s">
        <v>22</v>
      </c>
      <c r="B249" s="1" t="s">
        <v>55</v>
      </c>
    </row>
    <row r="250" spans="1:2">
      <c r="A250" s="2" t="s">
        <v>20</v>
      </c>
      <c r="B250" s="1" t="s">
        <v>54</v>
      </c>
    </row>
    <row r="251" spans="1:2">
      <c r="A251" s="2" t="s">
        <v>18</v>
      </c>
      <c r="B251" s="1" t="s">
        <v>53</v>
      </c>
    </row>
    <row r="252" spans="1:2">
      <c r="A252" s="2" t="s">
        <v>16</v>
      </c>
      <c r="B252" s="1" t="s">
        <v>52</v>
      </c>
    </row>
    <row r="253" spans="1:2">
      <c r="A253" s="2" t="s">
        <v>14</v>
      </c>
      <c r="B253" s="1" t="s">
        <v>51</v>
      </c>
    </row>
    <row r="254" spans="1:2">
      <c r="A254" s="2" t="s">
        <v>12</v>
      </c>
      <c r="B254" s="1" t="s">
        <v>50</v>
      </c>
    </row>
    <row r="255" spans="1:2">
      <c r="A255" s="1" t="s">
        <v>10</v>
      </c>
      <c r="B255" s="1" t="s">
        <v>49</v>
      </c>
    </row>
    <row r="256" spans="1:2">
      <c r="A256" s="2" t="s">
        <v>8</v>
      </c>
      <c r="B256" s="1" t="s">
        <v>48</v>
      </c>
    </row>
    <row r="257" spans="1:2">
      <c r="A257" s="2" t="s">
        <v>6</v>
      </c>
      <c r="B257" s="1" t="s">
        <v>47</v>
      </c>
    </row>
    <row r="258" spans="1:2">
      <c r="A258" s="2" t="s">
        <v>3</v>
      </c>
      <c r="B258" s="1" t="s">
        <v>46</v>
      </c>
    </row>
    <row r="259" spans="1:2">
      <c r="A259" s="2" t="s">
        <v>3</v>
      </c>
      <c r="B259" s="1" t="s">
        <v>45</v>
      </c>
    </row>
    <row r="260" spans="1:2">
      <c r="A260" s="2" t="s">
        <v>1</v>
      </c>
      <c r="B260" s="1" t="s">
        <v>44</v>
      </c>
    </row>
    <row r="261" spans="1:2">
      <c r="A261" s="1" t="s">
        <v>6</v>
      </c>
      <c r="B261" s="1" t="s">
        <v>43</v>
      </c>
    </row>
    <row r="262" spans="1:2">
      <c r="A262" s="2" t="s">
        <v>42</v>
      </c>
      <c r="B262" s="1" t="s">
        <v>41</v>
      </c>
    </row>
    <row r="263" spans="1:2">
      <c r="A263" s="2" t="s">
        <v>40</v>
      </c>
      <c r="B263" s="1" t="s">
        <v>39</v>
      </c>
    </row>
    <row r="264" spans="1:2">
      <c r="A264" s="2" t="s">
        <v>38</v>
      </c>
      <c r="B264" s="1" t="s">
        <v>37</v>
      </c>
    </row>
    <row r="265" spans="1:2">
      <c r="A265" s="2" t="s">
        <v>36</v>
      </c>
      <c r="B265" s="1" t="s">
        <v>35</v>
      </c>
    </row>
    <row r="266" spans="1:2">
      <c r="A266" s="2" t="s">
        <v>34</v>
      </c>
      <c r="B266" s="1" t="s">
        <v>33</v>
      </c>
    </row>
    <row r="267" spans="1:2">
      <c r="A267" s="2" t="s">
        <v>32</v>
      </c>
      <c r="B267" s="1" t="s">
        <v>31</v>
      </c>
    </row>
    <row r="268" spans="1:2">
      <c r="A268" s="1" t="s">
        <v>30</v>
      </c>
      <c r="B268" s="1" t="s">
        <v>29</v>
      </c>
    </row>
    <row r="269" spans="1:2">
      <c r="A269" s="2" t="s">
        <v>28</v>
      </c>
      <c r="B269" s="1" t="s">
        <v>27</v>
      </c>
    </row>
    <row r="270" spans="1:2">
      <c r="A270" s="2" t="s">
        <v>26</v>
      </c>
      <c r="B270" s="1" t="s">
        <v>25</v>
      </c>
    </row>
    <row r="271" spans="1:2">
      <c r="A271" s="1" t="s">
        <v>24</v>
      </c>
      <c r="B271" s="1" t="s">
        <v>23</v>
      </c>
    </row>
    <row r="272" spans="1:2">
      <c r="A272" s="2" t="s">
        <v>22</v>
      </c>
      <c r="B272" s="1" t="s">
        <v>21</v>
      </c>
    </row>
    <row r="273" spans="1:2">
      <c r="A273" s="2" t="s">
        <v>20</v>
      </c>
      <c r="B273" s="1" t="s">
        <v>19</v>
      </c>
    </row>
    <row r="274" spans="1:2">
      <c r="A274" s="2" t="s">
        <v>18</v>
      </c>
      <c r="B274" s="1" t="s">
        <v>17</v>
      </c>
    </row>
    <row r="275" spans="1:2">
      <c r="A275" s="2" t="s">
        <v>16</v>
      </c>
      <c r="B275" s="1" t="s">
        <v>15</v>
      </c>
    </row>
    <row r="276" spans="1:2">
      <c r="A276" s="2" t="s">
        <v>14</v>
      </c>
      <c r="B276" s="1" t="s">
        <v>13</v>
      </c>
    </row>
    <row r="277" spans="1:2">
      <c r="A277" s="2" t="s">
        <v>12</v>
      </c>
      <c r="B277" s="1" t="s">
        <v>11</v>
      </c>
    </row>
    <row r="278" spans="1:2">
      <c r="A278" s="1" t="s">
        <v>10</v>
      </c>
      <c r="B278" s="1" t="s">
        <v>9</v>
      </c>
    </row>
    <row r="279" spans="1:2">
      <c r="A279" s="2" t="s">
        <v>8</v>
      </c>
      <c r="B279" s="1" t="s">
        <v>7</v>
      </c>
    </row>
    <row r="280" spans="1:2">
      <c r="A280" s="2" t="s">
        <v>6</v>
      </c>
      <c r="B280" s="1" t="s">
        <v>5</v>
      </c>
    </row>
    <row r="281" spans="1:2">
      <c r="A281" s="2" t="s">
        <v>3</v>
      </c>
      <c r="B281" s="1" t="s">
        <v>4</v>
      </c>
    </row>
    <row r="282" spans="1:2">
      <c r="A282" s="2" t="s">
        <v>3</v>
      </c>
      <c r="B282" s="1" t="s">
        <v>2</v>
      </c>
    </row>
    <row r="283" spans="1:2">
      <c r="A283" s="2" t="s">
        <v>1</v>
      </c>
      <c r="B283" s="1" t="s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7"/>
  <sheetViews>
    <sheetView workbookViewId="0"/>
  </sheetViews>
  <sheetFormatPr defaultRowHeight="15"/>
  <cols>
    <col min="1" max="1" width="10.7109375" bestFit="1" customWidth="1"/>
    <col min="2" max="2" width="52.85546875" bestFit="1" customWidth="1"/>
    <col min="3" max="3" width="31.42578125" bestFit="1" customWidth="1"/>
    <col min="4" max="4" width="31.42578125" customWidth="1"/>
    <col min="5" max="5" width="14.7109375" customWidth="1"/>
    <col min="6" max="6" width="12.85546875" customWidth="1"/>
    <col min="7" max="7" width="14.42578125" customWidth="1"/>
    <col min="8" max="8" width="16.5703125" customWidth="1"/>
    <col min="9" max="9" width="24.5703125" customWidth="1"/>
    <col min="10" max="10" width="10.42578125" bestFit="1" customWidth="1"/>
    <col min="11" max="11" width="17.28515625" bestFit="1" customWidth="1"/>
    <col min="12" max="12" width="16.28515625" style="11" bestFit="1" customWidth="1"/>
    <col min="13" max="13" width="10.5703125" style="11" bestFit="1" customWidth="1"/>
    <col min="14" max="16384" width="9.140625" style="11"/>
  </cols>
  <sheetData>
    <row r="1" spans="1:13" s="10" customFormat="1">
      <c r="A1" s="7" t="s">
        <v>475</v>
      </c>
      <c r="B1" s="7" t="s">
        <v>548</v>
      </c>
      <c r="C1" s="7" t="s">
        <v>474</v>
      </c>
      <c r="D1" s="7" t="s">
        <v>533</v>
      </c>
      <c r="E1" s="7" t="s">
        <v>473</v>
      </c>
      <c r="F1" s="7" t="s">
        <v>472</v>
      </c>
      <c r="G1" s="7" t="s">
        <v>471</v>
      </c>
      <c r="H1" s="7" t="s">
        <v>470</v>
      </c>
      <c r="I1" s="7" t="s">
        <v>469</v>
      </c>
      <c r="J1" s="8" t="s">
        <v>534</v>
      </c>
      <c r="K1" s="8" t="s">
        <v>535</v>
      </c>
      <c r="L1" s="7" t="s">
        <v>546</v>
      </c>
      <c r="M1" s="7" t="s">
        <v>547</v>
      </c>
    </row>
    <row r="2" spans="1:13">
      <c r="A2" s="1" t="s">
        <v>467</v>
      </c>
      <c r="B2" s="1" t="s">
        <v>127</v>
      </c>
      <c r="C2" s="1" t="str">
        <f t="shared" ref="C2:C33" si="0">A2&amp;"@ganeshmeridian.live"</f>
        <v>A1A_B@ganeshmeridian.live</v>
      </c>
      <c r="D2" s="1">
        <v>9856471232</v>
      </c>
      <c r="E2" s="1" t="str">
        <f t="shared" ref="E2:E33" si="1">"www." &amp;A2 &amp; ".com"</f>
        <v>www.A1A_B.com</v>
      </c>
      <c r="F2" s="1" t="str">
        <f t="shared" ref="F2:F33" si="2">A2&amp;"_logo.png"</f>
        <v>A1A_B_logo.png</v>
      </c>
      <c r="G2" s="1" t="str">
        <f t="shared" ref="G2:G33" si="3">A2&amp;"_icon.png"</f>
        <v>A1A_B_icon.png</v>
      </c>
      <c r="H2" s="1" t="str">
        <f t="shared" ref="H2:H33" si="4">A2&amp;"_profilepicture.png"</f>
        <v>A1A_B_profilepicture.png</v>
      </c>
      <c r="I2" s="1" t="str">
        <f t="shared" ref="I2:I33" si="5">"This is unit number " &amp; A2</f>
        <v>This is unit number A1A_B</v>
      </c>
      <c r="J2" s="9">
        <v>41365</v>
      </c>
      <c r="K2" s="9">
        <v>45017</v>
      </c>
      <c r="L2"/>
      <c r="M2" t="b">
        <v>1</v>
      </c>
    </row>
    <row r="3" spans="1:13">
      <c r="A3" s="1" t="s">
        <v>466</v>
      </c>
      <c r="B3" s="1" t="s">
        <v>279</v>
      </c>
      <c r="C3" s="1" t="str">
        <f t="shared" si="0"/>
        <v>A2A_B@ganeshmeridian.live</v>
      </c>
      <c r="D3" s="1">
        <v>9856471233</v>
      </c>
      <c r="E3" s="1" t="str">
        <f t="shared" si="1"/>
        <v>www.A2A_B.com</v>
      </c>
      <c r="F3" s="1" t="str">
        <f t="shared" si="2"/>
        <v>A2A_B_logo.png</v>
      </c>
      <c r="G3" s="1" t="str">
        <f t="shared" si="3"/>
        <v>A2A_B_icon.png</v>
      </c>
      <c r="H3" s="1" t="str">
        <f t="shared" si="4"/>
        <v>A2A_B_profilepicture.png</v>
      </c>
      <c r="I3" s="1" t="str">
        <f t="shared" si="5"/>
        <v>This is unit number A2A_B</v>
      </c>
      <c r="J3" s="9">
        <v>41365</v>
      </c>
      <c r="K3" s="9">
        <v>45017</v>
      </c>
      <c r="M3" t="b">
        <v>1</v>
      </c>
    </row>
    <row r="4" spans="1:13">
      <c r="A4" s="1" t="s">
        <v>465</v>
      </c>
      <c r="B4" s="1" t="s">
        <v>378</v>
      </c>
      <c r="C4" s="1" t="str">
        <f t="shared" si="0"/>
        <v>A3A_B@ganeshmeridian.live</v>
      </c>
      <c r="D4" s="1">
        <v>9856471234</v>
      </c>
      <c r="E4" s="1" t="str">
        <f t="shared" si="1"/>
        <v>www.A3A_B.com</v>
      </c>
      <c r="F4" s="1" t="str">
        <f t="shared" si="2"/>
        <v>A3A_B_logo.png</v>
      </c>
      <c r="G4" s="1" t="str">
        <f t="shared" si="3"/>
        <v>A3A_B_icon.png</v>
      </c>
      <c r="H4" s="1" t="str">
        <f t="shared" si="4"/>
        <v>A3A_B_profilepicture.png</v>
      </c>
      <c r="I4" s="1" t="str">
        <f t="shared" si="5"/>
        <v>This is unit number A3A_B</v>
      </c>
      <c r="J4" s="9">
        <v>41365</v>
      </c>
      <c r="K4" s="9">
        <v>45017</v>
      </c>
      <c r="M4" t="b">
        <v>1</v>
      </c>
    </row>
    <row r="5" spans="1:13">
      <c r="A5" s="2" t="s">
        <v>464</v>
      </c>
      <c r="B5" s="2" t="s">
        <v>440</v>
      </c>
      <c r="C5" s="1" t="str">
        <f t="shared" si="0"/>
        <v>A006A@ganeshmeridian.live</v>
      </c>
      <c r="D5" s="1">
        <v>9856471235</v>
      </c>
      <c r="E5" s="1" t="str">
        <f t="shared" si="1"/>
        <v>www.A006A.com</v>
      </c>
      <c r="F5" s="1" t="str">
        <f t="shared" si="2"/>
        <v>A006A_logo.png</v>
      </c>
      <c r="G5" s="1" t="str">
        <f t="shared" si="3"/>
        <v>A006A_icon.png</v>
      </c>
      <c r="H5" s="1" t="str">
        <f t="shared" si="4"/>
        <v>A006A_profilepicture.png</v>
      </c>
      <c r="I5" s="1" t="str">
        <f t="shared" si="5"/>
        <v>This is unit number A006A</v>
      </c>
      <c r="J5" s="9">
        <v>41365</v>
      </c>
      <c r="K5" s="9">
        <v>45017</v>
      </c>
      <c r="M5" t="b">
        <v>1</v>
      </c>
    </row>
    <row r="6" spans="1:13">
      <c r="A6" s="2" t="s">
        <v>462</v>
      </c>
      <c r="B6" s="2" t="s">
        <v>24</v>
      </c>
      <c r="C6" s="1" t="str">
        <f t="shared" si="0"/>
        <v>A001C@ganeshmeridian.live</v>
      </c>
      <c r="D6" s="1">
        <v>9856471236</v>
      </c>
      <c r="E6" s="1" t="str">
        <f t="shared" si="1"/>
        <v>www.A001C.com</v>
      </c>
      <c r="F6" s="1" t="str">
        <f t="shared" si="2"/>
        <v>A001C_logo.png</v>
      </c>
      <c r="G6" s="1" t="str">
        <f t="shared" si="3"/>
        <v>A001C_icon.png</v>
      </c>
      <c r="H6" s="1" t="str">
        <f t="shared" si="4"/>
        <v>A001C_profilepicture.png</v>
      </c>
      <c r="I6" s="1" t="str">
        <f t="shared" si="5"/>
        <v>This is unit number A001C</v>
      </c>
      <c r="J6" s="9">
        <v>41365</v>
      </c>
      <c r="K6" s="9">
        <v>45017</v>
      </c>
      <c r="M6" t="b">
        <v>1</v>
      </c>
    </row>
    <row r="7" spans="1:13">
      <c r="A7" s="1" t="s">
        <v>459</v>
      </c>
      <c r="B7" s="1" t="s">
        <v>305</v>
      </c>
      <c r="C7" s="1" t="str">
        <f t="shared" si="0"/>
        <v>A5A_B@ganeshmeridian.live</v>
      </c>
      <c r="D7" s="1">
        <v>9856471238</v>
      </c>
      <c r="E7" s="1" t="str">
        <f t="shared" si="1"/>
        <v>www.A5A_B.com</v>
      </c>
      <c r="F7" s="1" t="str">
        <f t="shared" si="2"/>
        <v>A5A_B_logo.png</v>
      </c>
      <c r="G7" s="1" t="str">
        <f t="shared" si="3"/>
        <v>A5A_B_icon.png</v>
      </c>
      <c r="H7" s="1" t="str">
        <f t="shared" si="4"/>
        <v>A5A_B_profilepicture.png</v>
      </c>
      <c r="I7" s="1" t="str">
        <f t="shared" si="5"/>
        <v>This is unit number A5A_B</v>
      </c>
      <c r="J7" s="9">
        <v>41365</v>
      </c>
      <c r="K7" s="9">
        <v>45017</v>
      </c>
      <c r="M7" t="b">
        <v>1</v>
      </c>
    </row>
    <row r="8" spans="1:13">
      <c r="A8" s="1" t="s">
        <v>458</v>
      </c>
      <c r="B8" s="1" t="s">
        <v>267</v>
      </c>
      <c r="C8" s="1" t="str">
        <f t="shared" si="0"/>
        <v>A5C@ganeshmeridian.live</v>
      </c>
      <c r="D8" s="1">
        <v>9856471239</v>
      </c>
      <c r="E8" s="1" t="str">
        <f t="shared" si="1"/>
        <v>www.A5C.com</v>
      </c>
      <c r="F8" s="1" t="str">
        <f t="shared" si="2"/>
        <v>A5C_logo.png</v>
      </c>
      <c r="G8" s="1" t="str">
        <f t="shared" si="3"/>
        <v>A5C_icon.png</v>
      </c>
      <c r="H8" s="1" t="str">
        <f t="shared" si="4"/>
        <v>A5C_profilepicture.png</v>
      </c>
      <c r="I8" s="1" t="str">
        <f t="shared" si="5"/>
        <v>This is unit number A5C</v>
      </c>
      <c r="J8" s="9">
        <v>41365</v>
      </c>
      <c r="K8" s="9">
        <v>45017</v>
      </c>
      <c r="M8" t="b">
        <v>1</v>
      </c>
    </row>
    <row r="9" spans="1:13">
      <c r="A9" s="1" t="s">
        <v>456</v>
      </c>
      <c r="B9" s="1" t="s">
        <v>356</v>
      </c>
      <c r="C9" s="1" t="str">
        <f t="shared" si="0"/>
        <v>A6@ganeshmeridian.live</v>
      </c>
      <c r="D9" s="1">
        <v>9856471240</v>
      </c>
      <c r="E9" s="1" t="str">
        <f t="shared" si="1"/>
        <v>www.A6.com</v>
      </c>
      <c r="F9" s="1" t="str">
        <f t="shared" si="2"/>
        <v>A6_logo.png</v>
      </c>
      <c r="G9" s="1" t="str">
        <f t="shared" si="3"/>
        <v>A6_icon.png</v>
      </c>
      <c r="H9" s="1" t="str">
        <f t="shared" si="4"/>
        <v>A6_profilepicture.png</v>
      </c>
      <c r="I9" s="1" t="str">
        <f t="shared" si="5"/>
        <v>This is unit number A6</v>
      </c>
      <c r="J9" s="9">
        <v>41365</v>
      </c>
      <c r="K9" s="9">
        <v>45017</v>
      </c>
      <c r="M9" t="b">
        <v>1</v>
      </c>
    </row>
    <row r="10" spans="1:13">
      <c r="A10" s="1" t="s">
        <v>449</v>
      </c>
      <c r="B10" s="1" t="s">
        <v>197</v>
      </c>
      <c r="C10" s="1" t="str">
        <f t="shared" si="0"/>
        <v>A10@ganeshmeridian.live</v>
      </c>
      <c r="D10" s="1">
        <v>9856471241</v>
      </c>
      <c r="E10" s="1" t="str">
        <f t="shared" si="1"/>
        <v>www.A10.com</v>
      </c>
      <c r="F10" s="1" t="str">
        <f t="shared" si="2"/>
        <v>A10_logo.png</v>
      </c>
      <c r="G10" s="1" t="str">
        <f t="shared" si="3"/>
        <v>A10_icon.png</v>
      </c>
      <c r="H10" s="1" t="str">
        <f t="shared" si="4"/>
        <v>A10_profilepicture.png</v>
      </c>
      <c r="I10" s="1" t="str">
        <f t="shared" si="5"/>
        <v>This is unit number A10</v>
      </c>
      <c r="J10" s="9">
        <v>41365</v>
      </c>
      <c r="K10" s="9">
        <v>45017</v>
      </c>
      <c r="M10" t="b">
        <v>1</v>
      </c>
    </row>
    <row r="11" spans="1:13">
      <c r="A11" s="1" t="s">
        <v>454</v>
      </c>
      <c r="B11" s="1" t="s">
        <v>209</v>
      </c>
      <c r="C11" s="1" t="str">
        <f t="shared" si="0"/>
        <v>A7@ganeshmeridian.live</v>
      </c>
      <c r="D11" s="1">
        <v>9856471242</v>
      </c>
      <c r="E11" s="1" t="str">
        <f t="shared" si="1"/>
        <v>www.A7.com</v>
      </c>
      <c r="F11" s="1" t="str">
        <f t="shared" si="2"/>
        <v>A7_logo.png</v>
      </c>
      <c r="G11" s="1" t="str">
        <f t="shared" si="3"/>
        <v>A7_icon.png</v>
      </c>
      <c r="H11" s="1" t="str">
        <f t="shared" si="4"/>
        <v>A7_profilepicture.png</v>
      </c>
      <c r="I11" s="1" t="str">
        <f t="shared" si="5"/>
        <v>This is unit number A7</v>
      </c>
      <c r="J11" s="9">
        <v>41365</v>
      </c>
      <c r="K11" s="9">
        <v>45017</v>
      </c>
      <c r="M11" t="b">
        <v>1</v>
      </c>
    </row>
    <row r="12" spans="1:13">
      <c r="A12" s="1" t="s">
        <v>453</v>
      </c>
      <c r="B12" s="1" t="s">
        <v>38</v>
      </c>
      <c r="C12" s="1" t="str">
        <f t="shared" si="0"/>
        <v>A8@ganeshmeridian.live</v>
      </c>
      <c r="D12" s="1">
        <v>9856471243</v>
      </c>
      <c r="E12" s="1" t="str">
        <f t="shared" si="1"/>
        <v>www.A8.com</v>
      </c>
      <c r="F12" s="1" t="str">
        <f t="shared" si="2"/>
        <v>A8_logo.png</v>
      </c>
      <c r="G12" s="1" t="str">
        <f t="shared" si="3"/>
        <v>A8_icon.png</v>
      </c>
      <c r="H12" s="1" t="str">
        <f t="shared" si="4"/>
        <v>A8_profilepicture.png</v>
      </c>
      <c r="I12" s="1" t="str">
        <f t="shared" si="5"/>
        <v>This is unit number A8</v>
      </c>
      <c r="J12" s="9">
        <v>41365</v>
      </c>
      <c r="K12" s="9">
        <v>45017</v>
      </c>
      <c r="M12" t="b">
        <v>1</v>
      </c>
    </row>
    <row r="13" spans="1:13">
      <c r="A13" s="1" t="s">
        <v>451</v>
      </c>
      <c r="B13" s="1" t="s">
        <v>371</v>
      </c>
      <c r="C13" s="1" t="str">
        <f t="shared" si="0"/>
        <v>A9@ganeshmeridian.live</v>
      </c>
      <c r="D13" s="1">
        <v>9856471244</v>
      </c>
      <c r="E13" s="1" t="str">
        <f t="shared" si="1"/>
        <v>www.A9.com</v>
      </c>
      <c r="F13" s="1" t="str">
        <f t="shared" si="2"/>
        <v>A9_logo.png</v>
      </c>
      <c r="G13" s="1" t="str">
        <f t="shared" si="3"/>
        <v>A9_icon.png</v>
      </c>
      <c r="H13" s="1" t="str">
        <f t="shared" si="4"/>
        <v>A9_profilepicture.png</v>
      </c>
      <c r="I13" s="1" t="str">
        <f t="shared" si="5"/>
        <v>This is unit number A9</v>
      </c>
      <c r="J13" s="9">
        <v>41365</v>
      </c>
      <c r="K13" s="9">
        <v>45017</v>
      </c>
      <c r="M13" t="b">
        <v>1</v>
      </c>
    </row>
    <row r="14" spans="1:13">
      <c r="A14" s="1" t="s">
        <v>447</v>
      </c>
      <c r="B14" s="1" t="s">
        <v>436</v>
      </c>
      <c r="C14" s="1" t="str">
        <f t="shared" si="0"/>
        <v>A101@ganeshmeridian.live</v>
      </c>
      <c r="D14" s="1">
        <v>9856471245</v>
      </c>
      <c r="E14" s="1" t="str">
        <f t="shared" si="1"/>
        <v>www.A101.com</v>
      </c>
      <c r="F14" s="1" t="str">
        <f t="shared" si="2"/>
        <v>A101_logo.png</v>
      </c>
      <c r="G14" s="1" t="str">
        <f t="shared" si="3"/>
        <v>A101_icon.png</v>
      </c>
      <c r="H14" s="1" t="str">
        <f t="shared" si="4"/>
        <v>A101_profilepicture.png</v>
      </c>
      <c r="I14" s="1" t="str">
        <f t="shared" si="5"/>
        <v>This is unit number A101</v>
      </c>
      <c r="J14" s="9">
        <v>41365</v>
      </c>
      <c r="K14" s="9">
        <v>45017</v>
      </c>
      <c r="M14" t="b">
        <v>1</v>
      </c>
    </row>
    <row r="15" spans="1:13">
      <c r="A15" s="1" t="s">
        <v>445</v>
      </c>
      <c r="B15" s="1" t="s">
        <v>457</v>
      </c>
      <c r="C15" s="1" t="str">
        <f t="shared" si="0"/>
        <v>A102@ganeshmeridian.live</v>
      </c>
      <c r="D15" s="1">
        <v>9856471246</v>
      </c>
      <c r="E15" s="1" t="str">
        <f t="shared" si="1"/>
        <v>www.A102.com</v>
      </c>
      <c r="F15" s="1" t="str">
        <f t="shared" si="2"/>
        <v>A102_logo.png</v>
      </c>
      <c r="G15" s="1" t="str">
        <f t="shared" si="3"/>
        <v>A102_icon.png</v>
      </c>
      <c r="H15" s="1" t="str">
        <f t="shared" si="4"/>
        <v>A102_profilepicture.png</v>
      </c>
      <c r="I15" s="1" t="str">
        <f t="shared" si="5"/>
        <v>This is unit number A102</v>
      </c>
      <c r="J15" s="9">
        <v>41365</v>
      </c>
      <c r="K15" s="9">
        <v>45017</v>
      </c>
      <c r="M15" t="b">
        <v>1</v>
      </c>
    </row>
    <row r="16" spans="1:13">
      <c r="A16" s="1" t="s">
        <v>443</v>
      </c>
      <c r="B16" s="1" t="s">
        <v>291</v>
      </c>
      <c r="C16" s="1" t="str">
        <f t="shared" si="0"/>
        <v>A103A@ganeshmeridian.live</v>
      </c>
      <c r="D16" s="1">
        <v>9856471247</v>
      </c>
      <c r="E16" s="1" t="str">
        <f t="shared" si="1"/>
        <v>www.A103A.com</v>
      </c>
      <c r="F16" s="1" t="str">
        <f t="shared" si="2"/>
        <v>A103A_logo.png</v>
      </c>
      <c r="G16" s="1" t="str">
        <f t="shared" si="3"/>
        <v>A103A_icon.png</v>
      </c>
      <c r="H16" s="1" t="str">
        <f t="shared" si="4"/>
        <v>A103A_profilepicture.png</v>
      </c>
      <c r="I16" s="1" t="str">
        <f t="shared" si="5"/>
        <v>This is unit number A103A</v>
      </c>
      <c r="J16" s="9">
        <v>41365</v>
      </c>
      <c r="K16" s="9">
        <v>45017</v>
      </c>
      <c r="M16" t="b">
        <v>1</v>
      </c>
    </row>
    <row r="17" spans="1:13">
      <c r="A17" s="1" t="s">
        <v>441</v>
      </c>
      <c r="B17" s="1" t="s">
        <v>32</v>
      </c>
      <c r="C17" s="1" t="str">
        <f t="shared" si="0"/>
        <v>A103B@ganeshmeridian.live</v>
      </c>
      <c r="D17" s="1">
        <v>9856471248</v>
      </c>
      <c r="E17" s="1" t="str">
        <f t="shared" si="1"/>
        <v>www.A103B.com</v>
      </c>
      <c r="F17" s="1" t="str">
        <f t="shared" si="2"/>
        <v>A103B_logo.png</v>
      </c>
      <c r="G17" s="1" t="str">
        <f t="shared" si="3"/>
        <v>A103B_icon.png</v>
      </c>
      <c r="H17" s="1" t="str">
        <f t="shared" si="4"/>
        <v>A103B_profilepicture.png</v>
      </c>
      <c r="I17" s="1" t="str">
        <f t="shared" si="5"/>
        <v>This is unit number A103B</v>
      </c>
      <c r="J17" s="9">
        <v>41365</v>
      </c>
      <c r="K17" s="9">
        <v>45017</v>
      </c>
      <c r="M17" t="b">
        <v>1</v>
      </c>
    </row>
    <row r="18" spans="1:13">
      <c r="A18" s="1" t="s">
        <v>439</v>
      </c>
      <c r="B18" s="1" t="s">
        <v>395</v>
      </c>
      <c r="C18" s="1" t="str">
        <f t="shared" si="0"/>
        <v>A103C@ganeshmeridian.live</v>
      </c>
      <c r="D18" s="1">
        <v>9856471249</v>
      </c>
      <c r="E18" s="1" t="str">
        <f t="shared" si="1"/>
        <v>www.A103C.com</v>
      </c>
      <c r="F18" s="1" t="str">
        <f t="shared" si="2"/>
        <v>A103C_logo.png</v>
      </c>
      <c r="G18" s="1" t="str">
        <f t="shared" si="3"/>
        <v>A103C_icon.png</v>
      </c>
      <c r="H18" s="1" t="str">
        <f t="shared" si="4"/>
        <v>A103C_profilepicture.png</v>
      </c>
      <c r="I18" s="1" t="str">
        <f t="shared" si="5"/>
        <v>This is unit number A103C</v>
      </c>
      <c r="J18" s="9">
        <v>41365</v>
      </c>
      <c r="K18" s="9">
        <v>45017</v>
      </c>
      <c r="M18" t="b">
        <v>1</v>
      </c>
    </row>
    <row r="19" spans="1:13">
      <c r="A19" s="1" t="s">
        <v>437</v>
      </c>
      <c r="B19" s="1" t="s">
        <v>142</v>
      </c>
      <c r="C19" s="1" t="str">
        <f t="shared" si="0"/>
        <v>A104A@ganeshmeridian.live</v>
      </c>
      <c r="D19" s="1">
        <v>9856471250</v>
      </c>
      <c r="E19" s="1" t="str">
        <f t="shared" si="1"/>
        <v>www.A104A.com</v>
      </c>
      <c r="F19" s="1" t="str">
        <f t="shared" si="2"/>
        <v>A104A_logo.png</v>
      </c>
      <c r="G19" s="1" t="str">
        <f t="shared" si="3"/>
        <v>A104A_icon.png</v>
      </c>
      <c r="H19" s="1" t="str">
        <f t="shared" si="4"/>
        <v>A104A_profilepicture.png</v>
      </c>
      <c r="I19" s="1" t="str">
        <f t="shared" si="5"/>
        <v>This is unit number A104A</v>
      </c>
      <c r="J19" s="9">
        <v>41365</v>
      </c>
      <c r="K19" s="9">
        <v>45017</v>
      </c>
      <c r="M19" t="b">
        <v>1</v>
      </c>
    </row>
    <row r="20" spans="1:13">
      <c r="A20" s="1" t="s">
        <v>435</v>
      </c>
      <c r="B20" s="1" t="s">
        <v>331</v>
      </c>
      <c r="C20" s="1" t="str">
        <f t="shared" si="0"/>
        <v>A104B@ganeshmeridian.live</v>
      </c>
      <c r="D20" s="1">
        <v>9856471251</v>
      </c>
      <c r="E20" s="1" t="str">
        <f t="shared" si="1"/>
        <v>www.A104B.com</v>
      </c>
      <c r="F20" s="1" t="str">
        <f t="shared" si="2"/>
        <v>A104B_logo.png</v>
      </c>
      <c r="G20" s="1" t="str">
        <f t="shared" si="3"/>
        <v>A104B_icon.png</v>
      </c>
      <c r="H20" s="1" t="str">
        <f t="shared" si="4"/>
        <v>A104B_profilepicture.png</v>
      </c>
      <c r="I20" s="1" t="str">
        <f t="shared" si="5"/>
        <v>This is unit number A104B</v>
      </c>
      <c r="J20" s="9">
        <v>41365</v>
      </c>
      <c r="K20" s="9">
        <v>45017</v>
      </c>
      <c r="M20" t="b">
        <v>1</v>
      </c>
    </row>
    <row r="21" spans="1:13">
      <c r="A21" s="1" t="s">
        <v>433</v>
      </c>
      <c r="B21" s="1" t="s">
        <v>382</v>
      </c>
      <c r="C21" s="1" t="str">
        <f t="shared" si="0"/>
        <v>A104C@ganeshmeridian.live</v>
      </c>
      <c r="D21" s="1">
        <v>9856471252</v>
      </c>
      <c r="E21" s="1" t="str">
        <f t="shared" si="1"/>
        <v>www.A104C.com</v>
      </c>
      <c r="F21" s="1" t="str">
        <f t="shared" si="2"/>
        <v>A104C_logo.png</v>
      </c>
      <c r="G21" s="1" t="str">
        <f t="shared" si="3"/>
        <v>A104C_icon.png</v>
      </c>
      <c r="H21" s="1" t="str">
        <f t="shared" si="4"/>
        <v>A104C_profilepicture.png</v>
      </c>
      <c r="I21" s="1" t="str">
        <f t="shared" si="5"/>
        <v>This is unit number A104C</v>
      </c>
      <c r="J21" s="9">
        <v>41365</v>
      </c>
      <c r="K21" s="9">
        <v>45017</v>
      </c>
      <c r="M21" t="b">
        <v>1</v>
      </c>
    </row>
    <row r="22" spans="1:13">
      <c r="A22" s="1" t="s">
        <v>431</v>
      </c>
      <c r="B22" s="1" t="s">
        <v>18</v>
      </c>
      <c r="C22" s="1" t="str">
        <f t="shared" si="0"/>
        <v>A105@ganeshmeridian.live</v>
      </c>
      <c r="D22" s="1">
        <v>9856471253</v>
      </c>
      <c r="E22" s="1" t="str">
        <f t="shared" si="1"/>
        <v>www.A105.com</v>
      </c>
      <c r="F22" s="1" t="str">
        <f t="shared" si="2"/>
        <v>A105_logo.png</v>
      </c>
      <c r="G22" s="1" t="str">
        <f t="shared" si="3"/>
        <v>A105_icon.png</v>
      </c>
      <c r="H22" s="1" t="str">
        <f t="shared" si="4"/>
        <v>A105_profilepicture.png</v>
      </c>
      <c r="I22" s="1" t="str">
        <f t="shared" si="5"/>
        <v>This is unit number A105</v>
      </c>
      <c r="J22" s="9">
        <v>41365</v>
      </c>
      <c r="K22" s="9">
        <v>45017</v>
      </c>
      <c r="M22" t="b">
        <v>1</v>
      </c>
    </row>
    <row r="23" spans="1:13">
      <c r="A23" s="1" t="s">
        <v>429</v>
      </c>
      <c r="B23" s="1" t="s">
        <v>299</v>
      </c>
      <c r="C23" s="1" t="str">
        <f t="shared" si="0"/>
        <v>A106@ganeshmeridian.live</v>
      </c>
      <c r="D23" s="1">
        <v>9856471254</v>
      </c>
      <c r="E23" s="1" t="str">
        <f t="shared" si="1"/>
        <v>www.A106.com</v>
      </c>
      <c r="F23" s="1" t="str">
        <f t="shared" si="2"/>
        <v>A106_logo.png</v>
      </c>
      <c r="G23" s="1" t="str">
        <f t="shared" si="3"/>
        <v>A106_icon.png</v>
      </c>
      <c r="H23" s="1" t="str">
        <f t="shared" si="4"/>
        <v>A106_profilepicture.png</v>
      </c>
      <c r="I23" s="1" t="str">
        <f t="shared" si="5"/>
        <v>This is unit number A106</v>
      </c>
      <c r="J23" s="9">
        <v>41365</v>
      </c>
      <c r="K23" s="9">
        <v>45017</v>
      </c>
      <c r="M23" t="b">
        <v>1</v>
      </c>
    </row>
    <row r="24" spans="1:13">
      <c r="A24" s="1" t="s">
        <v>427</v>
      </c>
      <c r="B24" s="1" t="s">
        <v>30</v>
      </c>
      <c r="C24" s="1" t="str">
        <f t="shared" si="0"/>
        <v>A107@ganeshmeridian.live</v>
      </c>
      <c r="D24" s="1">
        <v>9856471255</v>
      </c>
      <c r="E24" s="1" t="str">
        <f t="shared" si="1"/>
        <v>www.A107.com</v>
      </c>
      <c r="F24" s="1" t="str">
        <f t="shared" si="2"/>
        <v>A107_logo.png</v>
      </c>
      <c r="G24" s="1" t="str">
        <f t="shared" si="3"/>
        <v>A107_icon.png</v>
      </c>
      <c r="H24" s="1" t="str">
        <f t="shared" si="4"/>
        <v>A107_profilepicture.png</v>
      </c>
      <c r="I24" s="1" t="str">
        <f t="shared" si="5"/>
        <v>This is unit number A107</v>
      </c>
      <c r="J24" s="9">
        <v>41365</v>
      </c>
      <c r="K24" s="9">
        <v>45017</v>
      </c>
      <c r="M24" t="b">
        <v>1</v>
      </c>
    </row>
    <row r="25" spans="1:13">
      <c r="A25" s="1" t="s">
        <v>425</v>
      </c>
      <c r="B25" s="1" t="s">
        <v>424</v>
      </c>
      <c r="C25" s="1" t="str">
        <f t="shared" si="0"/>
        <v>A108@ganeshmeridian.live</v>
      </c>
      <c r="D25" s="1">
        <v>9856471256</v>
      </c>
      <c r="E25" s="1" t="str">
        <f t="shared" si="1"/>
        <v>www.A108.com</v>
      </c>
      <c r="F25" s="1" t="str">
        <f t="shared" si="2"/>
        <v>A108_logo.png</v>
      </c>
      <c r="G25" s="1" t="str">
        <f t="shared" si="3"/>
        <v>A108_icon.png</v>
      </c>
      <c r="H25" s="1" t="str">
        <f t="shared" si="4"/>
        <v>A108_profilepicture.png</v>
      </c>
      <c r="I25" s="1" t="str">
        <f t="shared" si="5"/>
        <v>This is unit number A108</v>
      </c>
      <c r="J25" s="9">
        <v>41365</v>
      </c>
      <c r="K25" s="9">
        <v>45017</v>
      </c>
      <c r="M25" t="b">
        <v>1</v>
      </c>
    </row>
    <row r="26" spans="1:13">
      <c r="A26" s="1" t="s">
        <v>423</v>
      </c>
      <c r="B26" s="1" t="s">
        <v>340</v>
      </c>
      <c r="C26" s="1" t="str">
        <f t="shared" si="0"/>
        <v>A109@ganeshmeridian.live</v>
      </c>
      <c r="D26" s="1">
        <v>9856471257</v>
      </c>
      <c r="E26" s="1" t="str">
        <f t="shared" si="1"/>
        <v>www.A109.com</v>
      </c>
      <c r="F26" s="1" t="str">
        <f t="shared" si="2"/>
        <v>A109_logo.png</v>
      </c>
      <c r="G26" s="1" t="str">
        <f t="shared" si="3"/>
        <v>A109_icon.png</v>
      </c>
      <c r="H26" s="1" t="str">
        <f t="shared" si="4"/>
        <v>A109_profilepicture.png</v>
      </c>
      <c r="I26" s="1" t="str">
        <f t="shared" si="5"/>
        <v>This is unit number A109</v>
      </c>
      <c r="J26" s="9">
        <v>41365</v>
      </c>
      <c r="K26" s="9">
        <v>45017</v>
      </c>
      <c r="M26" t="b">
        <v>1</v>
      </c>
    </row>
    <row r="27" spans="1:13">
      <c r="A27" s="1" t="s">
        <v>419</v>
      </c>
      <c r="B27" s="1" t="s">
        <v>121</v>
      </c>
      <c r="C27" s="1" t="str">
        <f t="shared" si="0"/>
        <v>A111@ganeshmeridian.live</v>
      </c>
      <c r="D27" s="1">
        <v>9856471259</v>
      </c>
      <c r="E27" s="1" t="str">
        <f t="shared" si="1"/>
        <v>www.A111.com</v>
      </c>
      <c r="F27" s="1" t="str">
        <f t="shared" si="2"/>
        <v>A111_logo.png</v>
      </c>
      <c r="G27" s="1" t="str">
        <f t="shared" si="3"/>
        <v>A111_icon.png</v>
      </c>
      <c r="H27" s="1" t="str">
        <f t="shared" si="4"/>
        <v>A111_profilepicture.png</v>
      </c>
      <c r="I27" s="1" t="str">
        <f t="shared" si="5"/>
        <v>This is unit number A111</v>
      </c>
      <c r="J27" s="9">
        <v>41365</v>
      </c>
      <c r="K27" s="9">
        <v>45017</v>
      </c>
      <c r="M27" t="b">
        <v>1</v>
      </c>
    </row>
    <row r="28" spans="1:13">
      <c r="A28" s="1" t="s">
        <v>417</v>
      </c>
      <c r="B28" s="1" t="s">
        <v>28</v>
      </c>
      <c r="C28" s="1" t="str">
        <f t="shared" si="0"/>
        <v>A112@ganeshmeridian.live</v>
      </c>
      <c r="D28" s="1">
        <v>9856471260</v>
      </c>
      <c r="E28" s="1" t="str">
        <f t="shared" si="1"/>
        <v>www.A112.com</v>
      </c>
      <c r="F28" s="1" t="str">
        <f t="shared" si="2"/>
        <v>A112_logo.png</v>
      </c>
      <c r="G28" s="1" t="str">
        <f t="shared" si="3"/>
        <v>A112_icon.png</v>
      </c>
      <c r="H28" s="1" t="str">
        <f t="shared" si="4"/>
        <v>A112_profilepicture.png</v>
      </c>
      <c r="I28" s="1" t="str">
        <f t="shared" si="5"/>
        <v>This is unit number A112</v>
      </c>
      <c r="J28" s="9">
        <v>41365</v>
      </c>
      <c r="K28" s="9">
        <v>45017</v>
      </c>
      <c r="M28" t="b">
        <v>1</v>
      </c>
    </row>
    <row r="29" spans="1:13">
      <c r="A29" s="1" t="s">
        <v>415</v>
      </c>
      <c r="B29" s="1" t="s">
        <v>119</v>
      </c>
      <c r="C29" s="1" t="str">
        <f t="shared" si="0"/>
        <v>A112A@ganeshmeridian.live</v>
      </c>
      <c r="D29" s="1">
        <v>9856471261</v>
      </c>
      <c r="E29" s="1" t="str">
        <f t="shared" si="1"/>
        <v>www.A112A.com</v>
      </c>
      <c r="F29" s="1" t="str">
        <f t="shared" si="2"/>
        <v>A112A_logo.png</v>
      </c>
      <c r="G29" s="1" t="str">
        <f t="shared" si="3"/>
        <v>A112A_icon.png</v>
      </c>
      <c r="H29" s="1" t="str">
        <f t="shared" si="4"/>
        <v>A112A_profilepicture.png</v>
      </c>
      <c r="I29" s="1" t="str">
        <f t="shared" si="5"/>
        <v>This is unit number A112A</v>
      </c>
      <c r="J29" s="9">
        <v>41365</v>
      </c>
      <c r="K29" s="9">
        <v>45017</v>
      </c>
      <c r="M29" t="b">
        <v>1</v>
      </c>
    </row>
    <row r="30" spans="1:13">
      <c r="A30" s="1" t="s">
        <v>413</v>
      </c>
      <c r="B30" s="1" t="s">
        <v>181</v>
      </c>
      <c r="C30" s="1" t="str">
        <f t="shared" si="0"/>
        <v>A112B@ganeshmeridian.live</v>
      </c>
      <c r="D30" s="1">
        <v>9856471262</v>
      </c>
      <c r="E30" s="1" t="str">
        <f t="shared" si="1"/>
        <v>www.A112B.com</v>
      </c>
      <c r="F30" s="1" t="str">
        <f t="shared" si="2"/>
        <v>A112B_logo.png</v>
      </c>
      <c r="G30" s="1" t="str">
        <f t="shared" si="3"/>
        <v>A112B_icon.png</v>
      </c>
      <c r="H30" s="1" t="str">
        <f t="shared" si="4"/>
        <v>A112B_profilepicture.png</v>
      </c>
      <c r="I30" s="1" t="str">
        <f t="shared" si="5"/>
        <v>This is unit number A112B</v>
      </c>
      <c r="J30" s="9">
        <v>41365</v>
      </c>
      <c r="K30" s="9">
        <v>45017</v>
      </c>
      <c r="M30" t="b">
        <v>1</v>
      </c>
    </row>
    <row r="31" spans="1:13">
      <c r="A31" s="1" t="s">
        <v>411</v>
      </c>
      <c r="B31" s="1" t="s">
        <v>26</v>
      </c>
      <c r="C31" s="1" t="str">
        <f t="shared" si="0"/>
        <v>A114@ganeshmeridian.live</v>
      </c>
      <c r="D31" s="1">
        <v>9856471263</v>
      </c>
      <c r="E31" s="1" t="str">
        <f t="shared" si="1"/>
        <v>www.A114.com</v>
      </c>
      <c r="F31" s="1" t="str">
        <f t="shared" si="2"/>
        <v>A114_logo.png</v>
      </c>
      <c r="G31" s="1" t="str">
        <f t="shared" si="3"/>
        <v>A114_icon.png</v>
      </c>
      <c r="H31" s="1" t="str">
        <f t="shared" si="4"/>
        <v>A114_profilepicture.png</v>
      </c>
      <c r="I31" s="1" t="str">
        <f t="shared" si="5"/>
        <v>This is unit number A114</v>
      </c>
      <c r="J31" s="9">
        <v>41365</v>
      </c>
      <c r="K31" s="9">
        <v>45017</v>
      </c>
      <c r="M31" t="b">
        <v>1</v>
      </c>
    </row>
    <row r="32" spans="1:13">
      <c r="A32" s="1" t="s">
        <v>409</v>
      </c>
      <c r="B32" s="1" t="s">
        <v>135</v>
      </c>
      <c r="C32" s="1" t="str">
        <f t="shared" si="0"/>
        <v>A115A@ganeshmeridian.live</v>
      </c>
      <c r="D32" s="1">
        <v>9856471264</v>
      </c>
      <c r="E32" s="1" t="str">
        <f t="shared" si="1"/>
        <v>www.A115A.com</v>
      </c>
      <c r="F32" s="1" t="str">
        <f t="shared" si="2"/>
        <v>A115A_logo.png</v>
      </c>
      <c r="G32" s="1" t="str">
        <f t="shared" si="3"/>
        <v>A115A_icon.png</v>
      </c>
      <c r="H32" s="1" t="str">
        <f t="shared" si="4"/>
        <v>A115A_profilepicture.png</v>
      </c>
      <c r="I32" s="1" t="str">
        <f t="shared" si="5"/>
        <v>This is unit number A115A</v>
      </c>
      <c r="J32" s="9">
        <v>41365</v>
      </c>
      <c r="K32" s="9">
        <v>45017</v>
      </c>
      <c r="M32" t="b">
        <v>1</v>
      </c>
    </row>
    <row r="33" spans="1:13">
      <c r="A33" s="1" t="s">
        <v>407</v>
      </c>
      <c r="B33" s="1" t="s">
        <v>193</v>
      </c>
      <c r="C33" s="1" t="str">
        <f t="shared" si="0"/>
        <v>A115B@ganeshmeridian.live</v>
      </c>
      <c r="D33" s="1">
        <v>9856471265</v>
      </c>
      <c r="E33" s="1" t="str">
        <f t="shared" si="1"/>
        <v>www.A115B.com</v>
      </c>
      <c r="F33" s="1" t="str">
        <f t="shared" si="2"/>
        <v>A115B_logo.png</v>
      </c>
      <c r="G33" s="1" t="str">
        <f t="shared" si="3"/>
        <v>A115B_icon.png</v>
      </c>
      <c r="H33" s="1" t="str">
        <f t="shared" si="4"/>
        <v>A115B_profilepicture.png</v>
      </c>
      <c r="I33" s="1" t="str">
        <f t="shared" si="5"/>
        <v>This is unit number A115B</v>
      </c>
      <c r="J33" s="9">
        <v>41365</v>
      </c>
      <c r="K33" s="9">
        <v>45017</v>
      </c>
      <c r="M33" t="b">
        <v>1</v>
      </c>
    </row>
    <row r="34" spans="1:13">
      <c r="A34" s="1" t="s">
        <v>405</v>
      </c>
      <c r="B34" s="1" t="s">
        <v>358</v>
      </c>
      <c r="C34" s="1" t="str">
        <f t="shared" ref="C34:C65" si="6">A34&amp;"@ganeshmeridian.live"</f>
        <v>A115C@ganeshmeridian.live</v>
      </c>
      <c r="D34" s="1">
        <v>9856471266</v>
      </c>
      <c r="E34" s="1" t="str">
        <f t="shared" ref="E34:E65" si="7">"www." &amp;A34 &amp; ".com"</f>
        <v>www.A115C.com</v>
      </c>
      <c r="F34" s="1" t="str">
        <f t="shared" ref="F34:F65" si="8">A34&amp;"_logo.png"</f>
        <v>A115C_logo.png</v>
      </c>
      <c r="G34" s="1" t="str">
        <f t="shared" ref="G34:G65" si="9">A34&amp;"_icon.png"</f>
        <v>A115C_icon.png</v>
      </c>
      <c r="H34" s="1" t="str">
        <f t="shared" ref="H34:H65" si="10">A34&amp;"_profilepicture.png"</f>
        <v>A115C_profilepicture.png</v>
      </c>
      <c r="I34" s="1" t="str">
        <f t="shared" ref="I34:I65" si="11">"This is unit number " &amp; A34</f>
        <v>This is unit number A115C</v>
      </c>
      <c r="J34" s="9">
        <v>41365</v>
      </c>
      <c r="K34" s="9">
        <v>45017</v>
      </c>
      <c r="M34" t="b">
        <v>1</v>
      </c>
    </row>
    <row r="35" spans="1:13">
      <c r="A35" s="1" t="s">
        <v>403</v>
      </c>
      <c r="B35" s="1" t="s">
        <v>327</v>
      </c>
      <c r="C35" s="1" t="str">
        <f t="shared" si="6"/>
        <v>A201@ganeshmeridian.live</v>
      </c>
      <c r="D35" s="1">
        <v>9856471267</v>
      </c>
      <c r="E35" s="1" t="str">
        <f t="shared" si="7"/>
        <v>www.A201.com</v>
      </c>
      <c r="F35" s="1" t="str">
        <f t="shared" si="8"/>
        <v>A201_logo.png</v>
      </c>
      <c r="G35" s="1" t="str">
        <f t="shared" si="9"/>
        <v>A201_icon.png</v>
      </c>
      <c r="H35" s="1" t="str">
        <f t="shared" si="10"/>
        <v>A201_profilepicture.png</v>
      </c>
      <c r="I35" s="1" t="str">
        <f t="shared" si="11"/>
        <v>This is unit number A201</v>
      </c>
      <c r="J35" s="9">
        <v>41365</v>
      </c>
      <c r="K35" s="9">
        <v>45017</v>
      </c>
      <c r="M35" t="b">
        <v>1</v>
      </c>
    </row>
    <row r="36" spans="1:13">
      <c r="A36" s="1" t="s">
        <v>399</v>
      </c>
      <c r="B36" s="1" t="s">
        <v>34</v>
      </c>
      <c r="C36" s="1" t="str">
        <f t="shared" si="6"/>
        <v>A203A@ganeshmeridian.live</v>
      </c>
      <c r="D36" s="1">
        <v>9856471269</v>
      </c>
      <c r="E36" s="1" t="str">
        <f t="shared" si="7"/>
        <v>www.A203A.com</v>
      </c>
      <c r="F36" s="1" t="str">
        <f t="shared" si="8"/>
        <v>A203A_logo.png</v>
      </c>
      <c r="G36" s="1" t="str">
        <f t="shared" si="9"/>
        <v>A203A_icon.png</v>
      </c>
      <c r="H36" s="1" t="str">
        <f t="shared" si="10"/>
        <v>A203A_profilepicture.png</v>
      </c>
      <c r="I36" s="1" t="str">
        <f t="shared" si="11"/>
        <v>This is unit number A203A</v>
      </c>
      <c r="J36" s="9">
        <v>41365</v>
      </c>
      <c r="K36" s="9">
        <v>45017</v>
      </c>
      <c r="M36" t="b">
        <v>1</v>
      </c>
    </row>
    <row r="37" spans="1:13">
      <c r="A37" s="1" t="s">
        <v>394</v>
      </c>
      <c r="B37" s="1" t="s">
        <v>6</v>
      </c>
      <c r="C37" s="1" t="str">
        <f t="shared" si="6"/>
        <v>A204A@ganeshmeridian.live</v>
      </c>
      <c r="D37" s="1">
        <v>9856471272</v>
      </c>
      <c r="E37" s="1" t="str">
        <f t="shared" si="7"/>
        <v>www.A204A.com</v>
      </c>
      <c r="F37" s="1" t="str">
        <f t="shared" si="8"/>
        <v>A204A_logo.png</v>
      </c>
      <c r="G37" s="1" t="str">
        <f t="shared" si="9"/>
        <v>A204A_icon.png</v>
      </c>
      <c r="H37" s="1" t="str">
        <f t="shared" si="10"/>
        <v>A204A_profilepicture.png</v>
      </c>
      <c r="I37" s="1" t="str">
        <f t="shared" si="11"/>
        <v>This is unit number A204A</v>
      </c>
      <c r="J37" s="9">
        <v>41365</v>
      </c>
      <c r="K37" s="9">
        <v>45017</v>
      </c>
      <c r="M37" t="b">
        <v>1</v>
      </c>
    </row>
    <row r="38" spans="1:13">
      <c r="A38" s="1" t="s">
        <v>392</v>
      </c>
      <c r="B38" s="1" t="s">
        <v>217</v>
      </c>
      <c r="C38" s="1" t="str">
        <f t="shared" si="6"/>
        <v>A204B@ganeshmeridian.live</v>
      </c>
      <c r="D38" s="1">
        <v>9856471273</v>
      </c>
      <c r="E38" s="1" t="str">
        <f t="shared" si="7"/>
        <v>www.A204B.com</v>
      </c>
      <c r="F38" s="1" t="str">
        <f t="shared" si="8"/>
        <v>A204B_logo.png</v>
      </c>
      <c r="G38" s="1" t="str">
        <f t="shared" si="9"/>
        <v>A204B_icon.png</v>
      </c>
      <c r="H38" s="1" t="str">
        <f t="shared" si="10"/>
        <v>A204B_profilepicture.png</v>
      </c>
      <c r="I38" s="1" t="str">
        <f t="shared" si="11"/>
        <v>This is unit number A204B</v>
      </c>
      <c r="J38" s="9">
        <v>41365</v>
      </c>
      <c r="K38" s="9">
        <v>45017</v>
      </c>
      <c r="M38" t="b">
        <v>1</v>
      </c>
    </row>
    <row r="39" spans="1:13">
      <c r="A39" s="1" t="s">
        <v>390</v>
      </c>
      <c r="B39" s="1" t="s">
        <v>42</v>
      </c>
      <c r="C39" s="1" t="str">
        <f t="shared" si="6"/>
        <v>A204C@ganeshmeridian.live</v>
      </c>
      <c r="D39" s="1">
        <v>9856471274</v>
      </c>
      <c r="E39" s="1" t="str">
        <f t="shared" si="7"/>
        <v>www.A204C.com</v>
      </c>
      <c r="F39" s="1" t="str">
        <f t="shared" si="8"/>
        <v>A204C_logo.png</v>
      </c>
      <c r="G39" s="1" t="str">
        <f t="shared" si="9"/>
        <v>A204C_icon.png</v>
      </c>
      <c r="H39" s="1" t="str">
        <f t="shared" si="10"/>
        <v>A204C_profilepicture.png</v>
      </c>
      <c r="I39" s="1" t="str">
        <f t="shared" si="11"/>
        <v>This is unit number A204C</v>
      </c>
      <c r="J39" s="9">
        <v>41365</v>
      </c>
      <c r="K39" s="9">
        <v>45017</v>
      </c>
      <c r="M39" t="b">
        <v>1</v>
      </c>
    </row>
    <row r="40" spans="1:13">
      <c r="A40" s="1" t="s">
        <v>388</v>
      </c>
      <c r="B40" s="1" t="s">
        <v>297</v>
      </c>
      <c r="C40" s="1" t="str">
        <f t="shared" si="6"/>
        <v>A205@ganeshmeridian.live</v>
      </c>
      <c r="D40" s="1">
        <v>9856471275</v>
      </c>
      <c r="E40" s="1" t="str">
        <f t="shared" si="7"/>
        <v>www.A205.com</v>
      </c>
      <c r="F40" s="1" t="str">
        <f t="shared" si="8"/>
        <v>A205_logo.png</v>
      </c>
      <c r="G40" s="1" t="str">
        <f t="shared" si="9"/>
        <v>A205_icon.png</v>
      </c>
      <c r="H40" s="1" t="str">
        <f t="shared" si="10"/>
        <v>A205_profilepicture.png</v>
      </c>
      <c r="I40" s="1" t="str">
        <f t="shared" si="11"/>
        <v>This is unit number A205</v>
      </c>
      <c r="J40" s="9">
        <v>41365</v>
      </c>
      <c r="K40" s="9">
        <v>45017</v>
      </c>
      <c r="M40" t="b">
        <v>1</v>
      </c>
    </row>
    <row r="41" spans="1:13">
      <c r="A41" s="1" t="s">
        <v>386</v>
      </c>
      <c r="B41" s="1" t="s">
        <v>281</v>
      </c>
      <c r="C41" s="1" t="str">
        <f t="shared" si="6"/>
        <v>A206@ganeshmeridian.live</v>
      </c>
      <c r="D41" s="1">
        <v>9856471276</v>
      </c>
      <c r="E41" s="1" t="str">
        <f t="shared" si="7"/>
        <v>www.A206.com</v>
      </c>
      <c r="F41" s="1" t="str">
        <f t="shared" si="8"/>
        <v>A206_logo.png</v>
      </c>
      <c r="G41" s="1" t="str">
        <f t="shared" si="9"/>
        <v>A206_icon.png</v>
      </c>
      <c r="H41" s="1" t="str">
        <f t="shared" si="10"/>
        <v>A206_profilepicture.png</v>
      </c>
      <c r="I41" s="1" t="str">
        <f t="shared" si="11"/>
        <v>This is unit number A206</v>
      </c>
      <c r="J41" s="9">
        <v>41365</v>
      </c>
      <c r="K41" s="9">
        <v>45017</v>
      </c>
      <c r="M41" t="b">
        <v>1</v>
      </c>
    </row>
    <row r="42" spans="1:13">
      <c r="A42" s="1" t="s">
        <v>384</v>
      </c>
      <c r="B42" s="1" t="s">
        <v>410</v>
      </c>
      <c r="C42" s="1" t="str">
        <f t="shared" si="6"/>
        <v>A207@ganeshmeridian.live</v>
      </c>
      <c r="D42" s="1">
        <v>9856471277</v>
      </c>
      <c r="E42" s="1" t="str">
        <f t="shared" si="7"/>
        <v>www.A207.com</v>
      </c>
      <c r="F42" s="1" t="str">
        <f t="shared" si="8"/>
        <v>A207_logo.png</v>
      </c>
      <c r="G42" s="1" t="str">
        <f t="shared" si="9"/>
        <v>A207_icon.png</v>
      </c>
      <c r="H42" s="1" t="str">
        <f t="shared" si="10"/>
        <v>A207_profilepicture.png</v>
      </c>
      <c r="I42" s="1" t="str">
        <f t="shared" si="11"/>
        <v>This is unit number A207</v>
      </c>
      <c r="J42" s="9">
        <v>41365</v>
      </c>
      <c r="K42" s="9">
        <v>45017</v>
      </c>
      <c r="M42" t="b">
        <v>1</v>
      </c>
    </row>
    <row r="43" spans="1:13">
      <c r="A43" s="1" t="s">
        <v>383</v>
      </c>
      <c r="B43" s="1" t="s">
        <v>152</v>
      </c>
      <c r="C43" s="1" t="str">
        <f t="shared" si="6"/>
        <v>A208@ganeshmeridian.live</v>
      </c>
      <c r="D43" s="1">
        <v>9856471278</v>
      </c>
      <c r="E43" s="1" t="str">
        <f t="shared" si="7"/>
        <v>www.A208.com</v>
      </c>
      <c r="F43" s="1" t="str">
        <f t="shared" si="8"/>
        <v>A208_logo.png</v>
      </c>
      <c r="G43" s="1" t="str">
        <f t="shared" si="9"/>
        <v>A208_icon.png</v>
      </c>
      <c r="H43" s="1" t="str">
        <f t="shared" si="10"/>
        <v>A208_profilepicture.png</v>
      </c>
      <c r="I43" s="1" t="str">
        <f t="shared" si="11"/>
        <v>This is unit number A208</v>
      </c>
      <c r="J43" s="9">
        <v>41365</v>
      </c>
      <c r="K43" s="9">
        <v>45017</v>
      </c>
      <c r="M43" t="b">
        <v>1</v>
      </c>
    </row>
    <row r="44" spans="1:13">
      <c r="A44" s="1" t="s">
        <v>381</v>
      </c>
      <c r="B44" s="1" t="s">
        <v>346</v>
      </c>
      <c r="C44" s="1" t="str">
        <f t="shared" si="6"/>
        <v>A209A@ganeshmeridian.live</v>
      </c>
      <c r="D44" s="1">
        <v>9856471279</v>
      </c>
      <c r="E44" s="1" t="str">
        <f t="shared" si="7"/>
        <v>www.A209A.com</v>
      </c>
      <c r="F44" s="1" t="str">
        <f t="shared" si="8"/>
        <v>A209A_logo.png</v>
      </c>
      <c r="G44" s="1" t="str">
        <f t="shared" si="9"/>
        <v>A209A_icon.png</v>
      </c>
      <c r="H44" s="1" t="str">
        <f t="shared" si="10"/>
        <v>A209A_profilepicture.png</v>
      </c>
      <c r="I44" s="1" t="str">
        <f t="shared" si="11"/>
        <v>This is unit number A209A</v>
      </c>
      <c r="J44" s="9">
        <v>41365</v>
      </c>
      <c r="K44" s="9">
        <v>45017</v>
      </c>
      <c r="M44" t="b">
        <v>1</v>
      </c>
    </row>
    <row r="45" spans="1:13">
      <c r="A45" s="1" t="s">
        <v>380</v>
      </c>
      <c r="B45" s="1" t="s">
        <v>171</v>
      </c>
      <c r="C45" s="1" t="str">
        <f t="shared" si="6"/>
        <v>A209B@ganeshmeridian.live</v>
      </c>
      <c r="D45" s="1">
        <v>9856471280</v>
      </c>
      <c r="E45" s="1" t="str">
        <f t="shared" si="7"/>
        <v>www.A209B.com</v>
      </c>
      <c r="F45" s="1" t="str">
        <f t="shared" si="8"/>
        <v>A209B_logo.png</v>
      </c>
      <c r="G45" s="1" t="str">
        <f t="shared" si="9"/>
        <v>A209B_icon.png</v>
      </c>
      <c r="H45" s="1" t="str">
        <f t="shared" si="10"/>
        <v>A209B_profilepicture.png</v>
      </c>
      <c r="I45" s="1" t="str">
        <f t="shared" si="11"/>
        <v>This is unit number A209B</v>
      </c>
      <c r="J45" s="9">
        <v>41365</v>
      </c>
      <c r="K45" s="9">
        <v>45017</v>
      </c>
      <c r="M45" t="b">
        <v>1</v>
      </c>
    </row>
    <row r="46" spans="1:13">
      <c r="A46" s="1" t="s">
        <v>377</v>
      </c>
      <c r="B46" s="1" t="s">
        <v>12</v>
      </c>
      <c r="C46" s="1" t="str">
        <f t="shared" si="6"/>
        <v>A209D@ganeshmeridian.live</v>
      </c>
      <c r="D46" s="1">
        <v>9856471282</v>
      </c>
      <c r="E46" s="1" t="str">
        <f t="shared" si="7"/>
        <v>www.A209D.com</v>
      </c>
      <c r="F46" s="1" t="str">
        <f t="shared" si="8"/>
        <v>A209D_logo.png</v>
      </c>
      <c r="G46" s="1" t="str">
        <f t="shared" si="9"/>
        <v>A209D_icon.png</v>
      </c>
      <c r="H46" s="1" t="str">
        <f t="shared" si="10"/>
        <v>A209D_profilepicture.png</v>
      </c>
      <c r="I46" s="1" t="str">
        <f t="shared" si="11"/>
        <v>This is unit number A209D</v>
      </c>
      <c r="J46" s="9">
        <v>41365</v>
      </c>
      <c r="K46" s="9">
        <v>45017</v>
      </c>
      <c r="M46" t="b">
        <v>1</v>
      </c>
    </row>
    <row r="47" spans="1:13">
      <c r="A47" s="1" t="s">
        <v>373</v>
      </c>
      <c r="B47" s="1" t="s">
        <v>319</v>
      </c>
      <c r="C47" s="1" t="str">
        <f t="shared" si="6"/>
        <v>A211@ganeshmeridian.live</v>
      </c>
      <c r="D47" s="1">
        <v>9856471284</v>
      </c>
      <c r="E47" s="1" t="str">
        <f t="shared" si="7"/>
        <v>www.A211.com</v>
      </c>
      <c r="F47" s="1" t="str">
        <f t="shared" si="8"/>
        <v>A211_logo.png</v>
      </c>
      <c r="G47" s="1" t="str">
        <f t="shared" si="9"/>
        <v>A211_icon.png</v>
      </c>
      <c r="H47" s="1" t="str">
        <f t="shared" si="10"/>
        <v>A211_profilepicture.png</v>
      </c>
      <c r="I47" s="1" t="str">
        <f t="shared" si="11"/>
        <v>This is unit number A211</v>
      </c>
      <c r="J47" s="9">
        <v>41365</v>
      </c>
      <c r="K47" s="9">
        <v>45017</v>
      </c>
      <c r="M47" t="b">
        <v>1</v>
      </c>
    </row>
    <row r="48" spans="1:13">
      <c r="A48" s="1" t="s">
        <v>372</v>
      </c>
      <c r="B48" s="1" t="s">
        <v>211</v>
      </c>
      <c r="C48" s="1" t="str">
        <f t="shared" si="6"/>
        <v>A212@ganeshmeridian.live</v>
      </c>
      <c r="D48" s="1">
        <v>9856471285</v>
      </c>
      <c r="E48" s="1" t="str">
        <f t="shared" si="7"/>
        <v>www.A212.com</v>
      </c>
      <c r="F48" s="1" t="str">
        <f t="shared" si="8"/>
        <v>A212_logo.png</v>
      </c>
      <c r="G48" s="1" t="str">
        <f t="shared" si="9"/>
        <v>A212_icon.png</v>
      </c>
      <c r="H48" s="1" t="str">
        <f t="shared" si="10"/>
        <v>A212_profilepicture.png</v>
      </c>
      <c r="I48" s="1" t="str">
        <f t="shared" si="11"/>
        <v>This is unit number A212</v>
      </c>
      <c r="J48" s="9">
        <v>41365</v>
      </c>
      <c r="K48" s="9">
        <v>45017</v>
      </c>
      <c r="M48" t="b">
        <v>1</v>
      </c>
    </row>
    <row r="49" spans="1:13">
      <c r="A49" s="1" t="s">
        <v>370</v>
      </c>
      <c r="B49" s="1" t="s">
        <v>185</v>
      </c>
      <c r="C49" s="1" t="str">
        <f t="shared" si="6"/>
        <v>A212A@ganeshmeridian.live</v>
      </c>
      <c r="D49" s="1">
        <v>9856471286</v>
      </c>
      <c r="E49" s="1" t="str">
        <f t="shared" si="7"/>
        <v>www.A212A.com</v>
      </c>
      <c r="F49" s="1" t="str">
        <f t="shared" si="8"/>
        <v>A212A_logo.png</v>
      </c>
      <c r="G49" s="1" t="str">
        <f t="shared" si="9"/>
        <v>A212A_icon.png</v>
      </c>
      <c r="H49" s="1" t="str">
        <f t="shared" si="10"/>
        <v>A212A_profilepicture.png</v>
      </c>
      <c r="I49" s="1" t="str">
        <f t="shared" si="11"/>
        <v>This is unit number A212A</v>
      </c>
      <c r="J49" s="9">
        <v>41365</v>
      </c>
      <c r="K49" s="9">
        <v>45017</v>
      </c>
      <c r="M49" t="b">
        <v>1</v>
      </c>
    </row>
    <row r="50" spans="1:13">
      <c r="A50" s="1" t="s">
        <v>369</v>
      </c>
      <c r="B50" s="1" t="s">
        <v>444</v>
      </c>
      <c r="C50" s="1" t="str">
        <f t="shared" si="6"/>
        <v>A212B@ganeshmeridian.live</v>
      </c>
      <c r="D50" s="1">
        <v>9856471287</v>
      </c>
      <c r="E50" s="1" t="str">
        <f t="shared" si="7"/>
        <v>www.A212B.com</v>
      </c>
      <c r="F50" s="1" t="str">
        <f t="shared" si="8"/>
        <v>A212B_logo.png</v>
      </c>
      <c r="G50" s="1" t="str">
        <f t="shared" si="9"/>
        <v>A212B_icon.png</v>
      </c>
      <c r="H50" s="1" t="str">
        <f t="shared" si="10"/>
        <v>A212B_profilepicture.png</v>
      </c>
      <c r="I50" s="1" t="str">
        <f t="shared" si="11"/>
        <v>This is unit number A212B</v>
      </c>
      <c r="J50" s="9">
        <v>41365</v>
      </c>
      <c r="K50" s="9">
        <v>45017</v>
      </c>
      <c r="M50" t="b">
        <v>1</v>
      </c>
    </row>
    <row r="51" spans="1:13">
      <c r="A51" s="1" t="s">
        <v>367</v>
      </c>
      <c r="B51" s="1" t="s">
        <v>16</v>
      </c>
      <c r="C51" s="1" t="str">
        <f t="shared" si="6"/>
        <v>A301@ganeshmeridian.live</v>
      </c>
      <c r="D51" s="1">
        <v>9856471288</v>
      </c>
      <c r="E51" s="1" t="str">
        <f t="shared" si="7"/>
        <v>www.A301.com</v>
      </c>
      <c r="F51" s="1" t="str">
        <f t="shared" si="8"/>
        <v>A301_logo.png</v>
      </c>
      <c r="G51" s="1" t="str">
        <f t="shared" si="9"/>
        <v>A301_icon.png</v>
      </c>
      <c r="H51" s="1" t="str">
        <f t="shared" si="10"/>
        <v>A301_profilepicture.png</v>
      </c>
      <c r="I51" s="1" t="str">
        <f t="shared" si="11"/>
        <v>This is unit number A301</v>
      </c>
      <c r="J51" s="9">
        <v>41365</v>
      </c>
      <c r="K51" s="9">
        <v>45017</v>
      </c>
      <c r="M51" t="b">
        <v>1</v>
      </c>
    </row>
    <row r="52" spans="1:13">
      <c r="A52" s="1" t="s">
        <v>365</v>
      </c>
      <c r="B52" s="1" t="s">
        <v>201</v>
      </c>
      <c r="C52" s="1" t="str">
        <f t="shared" si="6"/>
        <v>A401@ganeshmeridian.live</v>
      </c>
      <c r="D52" s="1">
        <v>9856471289</v>
      </c>
      <c r="E52" s="1" t="str">
        <f t="shared" si="7"/>
        <v>www.A401.com</v>
      </c>
      <c r="F52" s="1" t="str">
        <f t="shared" si="8"/>
        <v>A401_logo.png</v>
      </c>
      <c r="G52" s="1" t="str">
        <f t="shared" si="9"/>
        <v>A401_icon.png</v>
      </c>
      <c r="H52" s="1" t="str">
        <f t="shared" si="10"/>
        <v>A401_profilepicture.png</v>
      </c>
      <c r="I52" s="1" t="str">
        <f t="shared" si="11"/>
        <v>This is unit number A401</v>
      </c>
      <c r="J52" s="9">
        <v>41365</v>
      </c>
      <c r="K52" s="9">
        <v>45017</v>
      </c>
      <c r="M52" t="b">
        <v>1</v>
      </c>
    </row>
    <row r="53" spans="1:13">
      <c r="A53" s="1" t="s">
        <v>363</v>
      </c>
      <c r="B53" s="1" t="s">
        <v>428</v>
      </c>
      <c r="C53" s="1" t="str">
        <f t="shared" si="6"/>
        <v>C1@ganeshmeridian.live</v>
      </c>
      <c r="D53" s="1">
        <v>9856471290</v>
      </c>
      <c r="E53" s="1" t="str">
        <f t="shared" si="7"/>
        <v>www.C1.com</v>
      </c>
      <c r="F53" s="1" t="str">
        <f t="shared" si="8"/>
        <v>C1_logo.png</v>
      </c>
      <c r="G53" s="1" t="str">
        <f t="shared" si="9"/>
        <v>C1_icon.png</v>
      </c>
      <c r="H53" s="1" t="str">
        <f t="shared" si="10"/>
        <v>C1_profilepicture.png</v>
      </c>
      <c r="I53" s="1" t="str">
        <f t="shared" si="11"/>
        <v>This is unit number C1</v>
      </c>
      <c r="J53" s="9">
        <v>41365</v>
      </c>
      <c r="K53" s="9">
        <v>45017</v>
      </c>
      <c r="M53" t="b">
        <v>1</v>
      </c>
    </row>
    <row r="54" spans="1:13">
      <c r="A54" s="1" t="s">
        <v>361</v>
      </c>
      <c r="B54" s="1" t="s">
        <v>448</v>
      </c>
      <c r="C54" s="1" t="str">
        <f t="shared" si="6"/>
        <v>C2@ganeshmeridian.live</v>
      </c>
      <c r="D54" s="1">
        <v>9856471291</v>
      </c>
      <c r="E54" s="1" t="str">
        <f t="shared" si="7"/>
        <v>www.C2.com</v>
      </c>
      <c r="F54" s="1" t="str">
        <f t="shared" si="8"/>
        <v>C2_logo.png</v>
      </c>
      <c r="G54" s="1" t="str">
        <f t="shared" si="9"/>
        <v>C2_icon.png</v>
      </c>
      <c r="H54" s="1" t="str">
        <f t="shared" si="10"/>
        <v>C2_profilepicture.png</v>
      </c>
      <c r="I54" s="1" t="str">
        <f t="shared" si="11"/>
        <v>This is unit number C2</v>
      </c>
      <c r="J54" s="9">
        <v>41365</v>
      </c>
      <c r="K54" s="9">
        <v>45017</v>
      </c>
      <c r="M54" t="b">
        <v>1</v>
      </c>
    </row>
    <row r="55" spans="1:13">
      <c r="A55" s="1" t="s">
        <v>360</v>
      </c>
      <c r="B55" s="1" t="s">
        <v>158</v>
      </c>
      <c r="C55" s="1" t="str">
        <f t="shared" si="6"/>
        <v>C6@ganeshmeridian.live</v>
      </c>
      <c r="D55" s="1">
        <v>9856471292</v>
      </c>
      <c r="E55" s="1" t="str">
        <f t="shared" si="7"/>
        <v>www.C6.com</v>
      </c>
      <c r="F55" s="1" t="str">
        <f t="shared" si="8"/>
        <v>C6_logo.png</v>
      </c>
      <c r="G55" s="1" t="str">
        <f t="shared" si="9"/>
        <v>C6_icon.png</v>
      </c>
      <c r="H55" s="1" t="str">
        <f t="shared" si="10"/>
        <v>C6_profilepicture.png</v>
      </c>
      <c r="I55" s="1" t="str">
        <f t="shared" si="11"/>
        <v>This is unit number C6</v>
      </c>
      <c r="J55" s="9">
        <v>41365</v>
      </c>
      <c r="K55" s="9">
        <v>45017</v>
      </c>
      <c r="M55" t="b">
        <v>1</v>
      </c>
    </row>
    <row r="56" spans="1:13">
      <c r="A56" s="1" t="s">
        <v>357</v>
      </c>
      <c r="B56" s="1" t="s">
        <v>273</v>
      </c>
      <c r="C56" s="1" t="str">
        <f t="shared" si="6"/>
        <v>C4@ganeshmeridian.live</v>
      </c>
      <c r="D56" s="1">
        <v>9856471294</v>
      </c>
      <c r="E56" s="1" t="str">
        <f t="shared" si="7"/>
        <v>www.C4.com</v>
      </c>
      <c r="F56" s="1" t="str">
        <f t="shared" si="8"/>
        <v>C4_logo.png</v>
      </c>
      <c r="G56" s="1" t="str">
        <f t="shared" si="9"/>
        <v>C4_icon.png</v>
      </c>
      <c r="H56" s="1" t="str">
        <f t="shared" si="10"/>
        <v>C4_profilepicture.png</v>
      </c>
      <c r="I56" s="1" t="str">
        <f t="shared" si="11"/>
        <v>This is unit number C4</v>
      </c>
      <c r="J56" s="9">
        <v>41365</v>
      </c>
      <c r="K56" s="9">
        <v>45017</v>
      </c>
      <c r="M56" t="b">
        <v>1</v>
      </c>
    </row>
    <row r="57" spans="1:13">
      <c r="A57" s="1" t="s">
        <v>354</v>
      </c>
      <c r="B57" s="1" t="s">
        <v>242</v>
      </c>
      <c r="C57" s="1" t="str">
        <f t="shared" si="6"/>
        <v>C5B@ganeshmeridian.live</v>
      </c>
      <c r="D57" s="1">
        <v>9856471296</v>
      </c>
      <c r="E57" s="1" t="str">
        <f t="shared" si="7"/>
        <v>www.C5B.com</v>
      </c>
      <c r="F57" s="1" t="str">
        <f t="shared" si="8"/>
        <v>C5B_logo.png</v>
      </c>
      <c r="G57" s="1" t="str">
        <f t="shared" si="9"/>
        <v>C5B_icon.png</v>
      </c>
      <c r="H57" s="1" t="str">
        <f t="shared" si="10"/>
        <v>C5B_profilepicture.png</v>
      </c>
      <c r="I57" s="1" t="str">
        <f t="shared" si="11"/>
        <v>This is unit number C5B</v>
      </c>
      <c r="J57" s="9">
        <v>41365</v>
      </c>
      <c r="K57" s="9">
        <v>45017</v>
      </c>
      <c r="M57" t="b">
        <v>1</v>
      </c>
    </row>
    <row r="58" spans="1:13">
      <c r="A58" s="2" t="s">
        <v>353</v>
      </c>
      <c r="B58" s="2" t="s">
        <v>20</v>
      </c>
      <c r="C58" s="1" t="str">
        <f t="shared" si="6"/>
        <v>C007A@ganeshmeridian.live</v>
      </c>
      <c r="D58" s="1">
        <v>9856471297</v>
      </c>
      <c r="E58" s="1" t="str">
        <f t="shared" si="7"/>
        <v>www.C007A.com</v>
      </c>
      <c r="F58" s="1" t="str">
        <f t="shared" si="8"/>
        <v>C007A_logo.png</v>
      </c>
      <c r="G58" s="1" t="str">
        <f t="shared" si="9"/>
        <v>C007A_icon.png</v>
      </c>
      <c r="H58" s="1" t="str">
        <f t="shared" si="10"/>
        <v>C007A_profilepicture.png</v>
      </c>
      <c r="I58" s="1" t="str">
        <f t="shared" si="11"/>
        <v>This is unit number C007A</v>
      </c>
      <c r="J58" s="9">
        <v>41365</v>
      </c>
      <c r="K58" s="9">
        <v>45017</v>
      </c>
      <c r="M58" t="b">
        <v>1</v>
      </c>
    </row>
    <row r="59" spans="1:13">
      <c r="A59" s="2" t="s">
        <v>351</v>
      </c>
      <c r="B59" s="2" t="s">
        <v>148</v>
      </c>
      <c r="C59" s="1" t="str">
        <f t="shared" si="6"/>
        <v>C007B@ganeshmeridian.live</v>
      </c>
      <c r="D59" s="1">
        <v>9856471298</v>
      </c>
      <c r="E59" s="1" t="str">
        <f t="shared" si="7"/>
        <v>www.C007B.com</v>
      </c>
      <c r="F59" s="1" t="str">
        <f t="shared" si="8"/>
        <v>C007B_logo.png</v>
      </c>
      <c r="G59" s="1" t="str">
        <f t="shared" si="9"/>
        <v>C007B_icon.png</v>
      </c>
      <c r="H59" s="1" t="str">
        <f t="shared" si="10"/>
        <v>C007B_profilepicture.png</v>
      </c>
      <c r="I59" s="1" t="str">
        <f t="shared" si="11"/>
        <v>This is unit number C007B</v>
      </c>
      <c r="J59" s="9">
        <v>41365</v>
      </c>
      <c r="K59" s="9">
        <v>45017</v>
      </c>
      <c r="M59" t="b">
        <v>1</v>
      </c>
    </row>
    <row r="60" spans="1:13">
      <c r="A60" s="1" t="s">
        <v>349</v>
      </c>
      <c r="B60" s="1" t="s">
        <v>250</v>
      </c>
      <c r="C60" s="1" t="str">
        <f t="shared" si="6"/>
        <v>C101A@ganeshmeridian.live</v>
      </c>
      <c r="D60" s="1">
        <v>9856471299</v>
      </c>
      <c r="E60" s="1" t="str">
        <f t="shared" si="7"/>
        <v>www.C101A.com</v>
      </c>
      <c r="F60" s="1" t="str">
        <f t="shared" si="8"/>
        <v>C101A_logo.png</v>
      </c>
      <c r="G60" s="1" t="str">
        <f t="shared" si="9"/>
        <v>C101A_icon.png</v>
      </c>
      <c r="H60" s="1" t="str">
        <f t="shared" si="10"/>
        <v>C101A_profilepicture.png</v>
      </c>
      <c r="I60" s="1" t="str">
        <f t="shared" si="11"/>
        <v>This is unit number C101A</v>
      </c>
      <c r="J60" s="9">
        <v>41365</v>
      </c>
      <c r="K60" s="9">
        <v>45017</v>
      </c>
      <c r="M60" t="b">
        <v>1</v>
      </c>
    </row>
    <row r="61" spans="1:13">
      <c r="A61" s="1" t="s">
        <v>347</v>
      </c>
      <c r="B61" s="1" t="s">
        <v>366</v>
      </c>
      <c r="C61" s="1" t="str">
        <f t="shared" si="6"/>
        <v>C101B@ganeshmeridian.live</v>
      </c>
      <c r="D61" s="1">
        <v>9856471300</v>
      </c>
      <c r="E61" s="1" t="str">
        <f t="shared" si="7"/>
        <v>www.C101B.com</v>
      </c>
      <c r="F61" s="1" t="str">
        <f t="shared" si="8"/>
        <v>C101B_logo.png</v>
      </c>
      <c r="G61" s="1" t="str">
        <f t="shared" si="9"/>
        <v>C101B_icon.png</v>
      </c>
      <c r="H61" s="1" t="str">
        <f t="shared" si="10"/>
        <v>C101B_profilepicture.png</v>
      </c>
      <c r="I61" s="1" t="str">
        <f t="shared" si="11"/>
        <v>This is unit number C101B</v>
      </c>
      <c r="J61" s="9">
        <v>41365</v>
      </c>
      <c r="K61" s="9">
        <v>45017</v>
      </c>
      <c r="M61" t="b">
        <v>1</v>
      </c>
    </row>
    <row r="62" spans="1:13">
      <c r="A62" s="1" t="s">
        <v>345</v>
      </c>
      <c r="B62" s="1" t="s">
        <v>233</v>
      </c>
      <c r="C62" s="1" t="str">
        <f t="shared" si="6"/>
        <v>C102@ganeshmeridian.live</v>
      </c>
      <c r="D62" s="1">
        <v>9856471301</v>
      </c>
      <c r="E62" s="1" t="str">
        <f t="shared" si="7"/>
        <v>www.C102.com</v>
      </c>
      <c r="F62" s="1" t="str">
        <f t="shared" si="8"/>
        <v>C102_logo.png</v>
      </c>
      <c r="G62" s="1" t="str">
        <f t="shared" si="9"/>
        <v>C102_icon.png</v>
      </c>
      <c r="H62" s="1" t="str">
        <f t="shared" si="10"/>
        <v>C102_profilepicture.png</v>
      </c>
      <c r="I62" s="1" t="str">
        <f t="shared" si="11"/>
        <v>This is unit number C102</v>
      </c>
      <c r="J62" s="9">
        <v>41365</v>
      </c>
      <c r="K62" s="9">
        <v>45017</v>
      </c>
      <c r="M62" t="b">
        <v>1</v>
      </c>
    </row>
    <row r="63" spans="1:13">
      <c r="A63" s="1" t="s">
        <v>343</v>
      </c>
      <c r="B63" s="1" t="s">
        <v>156</v>
      </c>
      <c r="C63" s="1" t="str">
        <f t="shared" si="6"/>
        <v>C103@ganeshmeridian.live</v>
      </c>
      <c r="D63" s="1">
        <v>9856471302</v>
      </c>
      <c r="E63" s="1" t="str">
        <f t="shared" si="7"/>
        <v>www.C103.com</v>
      </c>
      <c r="F63" s="1" t="str">
        <f t="shared" si="8"/>
        <v>C103_logo.png</v>
      </c>
      <c r="G63" s="1" t="str">
        <f t="shared" si="9"/>
        <v>C103_icon.png</v>
      </c>
      <c r="H63" s="1" t="str">
        <f t="shared" si="10"/>
        <v>C103_profilepicture.png</v>
      </c>
      <c r="I63" s="1" t="str">
        <f t="shared" si="11"/>
        <v>This is unit number C103</v>
      </c>
      <c r="J63" s="9">
        <v>41365</v>
      </c>
      <c r="K63" s="9">
        <v>45017</v>
      </c>
      <c r="M63" t="b">
        <v>1</v>
      </c>
    </row>
    <row r="64" spans="1:13">
      <c r="A64" s="1" t="s">
        <v>341</v>
      </c>
      <c r="B64" s="1" t="s">
        <v>463</v>
      </c>
      <c r="C64" s="1" t="str">
        <f t="shared" si="6"/>
        <v>C104@ganeshmeridian.live</v>
      </c>
      <c r="D64" s="1">
        <v>9856471303</v>
      </c>
      <c r="E64" s="1" t="str">
        <f t="shared" si="7"/>
        <v>www.C104.com</v>
      </c>
      <c r="F64" s="1" t="str">
        <f t="shared" si="8"/>
        <v>C104_logo.png</v>
      </c>
      <c r="G64" s="1" t="str">
        <f t="shared" si="9"/>
        <v>C104_icon.png</v>
      </c>
      <c r="H64" s="1" t="str">
        <f t="shared" si="10"/>
        <v>C104_profilepicture.png</v>
      </c>
      <c r="I64" s="1" t="str">
        <f t="shared" si="11"/>
        <v>This is unit number C104</v>
      </c>
      <c r="J64" s="9">
        <v>41365</v>
      </c>
      <c r="K64" s="9">
        <v>45017</v>
      </c>
      <c r="M64" t="b">
        <v>1</v>
      </c>
    </row>
    <row r="65" spans="1:13">
      <c r="A65" s="1" t="s">
        <v>339</v>
      </c>
      <c r="B65" s="1" t="s">
        <v>420</v>
      </c>
      <c r="C65" s="1" t="str">
        <f t="shared" si="6"/>
        <v>C105A@ganeshmeridian.live</v>
      </c>
      <c r="D65" s="1">
        <v>9856471304</v>
      </c>
      <c r="E65" s="1" t="str">
        <f t="shared" si="7"/>
        <v>www.C105A.com</v>
      </c>
      <c r="F65" s="1" t="str">
        <f t="shared" si="8"/>
        <v>C105A_logo.png</v>
      </c>
      <c r="G65" s="1" t="str">
        <f t="shared" si="9"/>
        <v>C105A_icon.png</v>
      </c>
      <c r="H65" s="1" t="str">
        <f t="shared" si="10"/>
        <v>C105A_profilepicture.png</v>
      </c>
      <c r="I65" s="1" t="str">
        <f t="shared" si="11"/>
        <v>This is unit number C105A</v>
      </c>
      <c r="J65" s="9">
        <v>41365</v>
      </c>
      <c r="K65" s="9">
        <v>45017</v>
      </c>
      <c r="M65" t="b">
        <v>1</v>
      </c>
    </row>
    <row r="66" spans="1:13">
      <c r="A66" s="1" t="s">
        <v>337</v>
      </c>
      <c r="B66" s="1" t="s">
        <v>1</v>
      </c>
      <c r="C66" s="1" t="str">
        <f t="shared" ref="C66:C97" si="12">A66&amp;"@ganeshmeridian.live"</f>
        <v>C105B@ganeshmeridian.live</v>
      </c>
      <c r="D66" s="1">
        <v>9856471305</v>
      </c>
      <c r="E66" s="1" t="str">
        <f t="shared" ref="E66:E97" si="13">"www." &amp;A66 &amp; ".com"</f>
        <v>www.C105B.com</v>
      </c>
      <c r="F66" s="1" t="str">
        <f t="shared" ref="F66:F97" si="14">A66&amp;"_logo.png"</f>
        <v>C105B_logo.png</v>
      </c>
      <c r="G66" s="1" t="str">
        <f t="shared" ref="G66:G97" si="15">A66&amp;"_icon.png"</f>
        <v>C105B_icon.png</v>
      </c>
      <c r="H66" s="1" t="str">
        <f t="shared" ref="H66:H97" si="16">A66&amp;"_profilepicture.png"</f>
        <v>C105B_profilepicture.png</v>
      </c>
      <c r="I66" s="1" t="str">
        <f t="shared" ref="I66:I97" si="17">"This is unit number " &amp; A66</f>
        <v>This is unit number C105B</v>
      </c>
      <c r="J66" s="9">
        <v>41365</v>
      </c>
      <c r="K66" s="9">
        <v>45017</v>
      </c>
      <c r="M66" t="b">
        <v>1</v>
      </c>
    </row>
    <row r="67" spans="1:13">
      <c r="A67" s="1" t="s">
        <v>336</v>
      </c>
      <c r="B67" s="1" t="s">
        <v>10</v>
      </c>
      <c r="C67" s="1" t="str">
        <f t="shared" si="12"/>
        <v>C106A@ganeshmeridian.live</v>
      </c>
      <c r="D67" s="1">
        <v>9856471306</v>
      </c>
      <c r="E67" s="1" t="str">
        <f t="shared" si="13"/>
        <v>www.C106A.com</v>
      </c>
      <c r="F67" s="1" t="str">
        <f t="shared" si="14"/>
        <v>C106A_logo.png</v>
      </c>
      <c r="G67" s="1" t="str">
        <f t="shared" si="15"/>
        <v>C106A_icon.png</v>
      </c>
      <c r="H67" s="1" t="str">
        <f t="shared" si="16"/>
        <v>C106A_profilepicture.png</v>
      </c>
      <c r="I67" s="1" t="str">
        <f t="shared" si="17"/>
        <v>This is unit number C106A</v>
      </c>
      <c r="J67" s="9">
        <v>41365</v>
      </c>
      <c r="K67" s="9">
        <v>45017</v>
      </c>
      <c r="M67" t="b">
        <v>1</v>
      </c>
    </row>
    <row r="68" spans="1:13">
      <c r="A68" s="1" t="s">
        <v>334</v>
      </c>
      <c r="B68" s="1" t="s">
        <v>321</v>
      </c>
      <c r="C68" s="1" t="str">
        <f t="shared" si="12"/>
        <v>C106B@ganeshmeridian.live</v>
      </c>
      <c r="D68" s="1">
        <v>9856471307</v>
      </c>
      <c r="E68" s="1" t="str">
        <f t="shared" si="13"/>
        <v>www.C106B.com</v>
      </c>
      <c r="F68" s="1" t="str">
        <f t="shared" si="14"/>
        <v>C106B_logo.png</v>
      </c>
      <c r="G68" s="1" t="str">
        <f t="shared" si="15"/>
        <v>C106B_icon.png</v>
      </c>
      <c r="H68" s="1" t="str">
        <f t="shared" si="16"/>
        <v>C106B_profilepicture.png</v>
      </c>
      <c r="I68" s="1" t="str">
        <f t="shared" si="17"/>
        <v>This is unit number C106B</v>
      </c>
      <c r="J68" s="9">
        <v>41365</v>
      </c>
      <c r="K68" s="9">
        <v>45017</v>
      </c>
      <c r="M68" t="b">
        <v>1</v>
      </c>
    </row>
    <row r="69" spans="1:13">
      <c r="A69" s="1" t="s">
        <v>332</v>
      </c>
      <c r="B69" s="1" t="s">
        <v>285</v>
      </c>
      <c r="C69" s="1" t="str">
        <f t="shared" si="12"/>
        <v>C107@ganeshmeridian.live</v>
      </c>
      <c r="D69" s="1">
        <v>9856471308</v>
      </c>
      <c r="E69" s="1" t="str">
        <f t="shared" si="13"/>
        <v>www.C107.com</v>
      </c>
      <c r="F69" s="1" t="str">
        <f t="shared" si="14"/>
        <v>C107_logo.png</v>
      </c>
      <c r="G69" s="1" t="str">
        <f t="shared" si="15"/>
        <v>C107_icon.png</v>
      </c>
      <c r="H69" s="1" t="str">
        <f t="shared" si="16"/>
        <v>C107_profilepicture.png</v>
      </c>
      <c r="I69" s="1" t="str">
        <f t="shared" si="17"/>
        <v>This is unit number C107</v>
      </c>
      <c r="J69" s="9">
        <v>41365</v>
      </c>
      <c r="K69" s="9">
        <v>45017</v>
      </c>
      <c r="M69" t="b">
        <v>1</v>
      </c>
    </row>
    <row r="70" spans="1:13">
      <c r="A70" s="1" t="s">
        <v>330</v>
      </c>
      <c r="B70" s="1" t="s">
        <v>350</v>
      </c>
      <c r="C70" s="1" t="str">
        <f t="shared" si="12"/>
        <v>C108@ganeshmeridian.live</v>
      </c>
      <c r="D70" s="1">
        <v>9856471309</v>
      </c>
      <c r="E70" s="1" t="str">
        <f t="shared" si="13"/>
        <v>www.C108.com</v>
      </c>
      <c r="F70" s="1" t="str">
        <f t="shared" si="14"/>
        <v>C108_logo.png</v>
      </c>
      <c r="G70" s="1" t="str">
        <f t="shared" si="15"/>
        <v>C108_icon.png</v>
      </c>
      <c r="H70" s="1" t="str">
        <f t="shared" si="16"/>
        <v>C108_profilepicture.png</v>
      </c>
      <c r="I70" s="1" t="str">
        <f t="shared" si="17"/>
        <v>This is unit number C108</v>
      </c>
      <c r="J70" s="9">
        <v>41365</v>
      </c>
      <c r="K70" s="9">
        <v>45017</v>
      </c>
      <c r="M70" t="b">
        <v>1</v>
      </c>
    </row>
    <row r="71" spans="1:13">
      <c r="A71" s="1" t="s">
        <v>328</v>
      </c>
      <c r="B71" s="1" t="s">
        <v>14</v>
      </c>
      <c r="C71" s="1" t="str">
        <f t="shared" si="12"/>
        <v>C109@ganeshmeridian.live</v>
      </c>
      <c r="D71" s="1">
        <v>9856471310</v>
      </c>
      <c r="E71" s="1" t="str">
        <f t="shared" si="13"/>
        <v>www.C109.com</v>
      </c>
      <c r="F71" s="1" t="str">
        <f t="shared" si="14"/>
        <v>C109_logo.png</v>
      </c>
      <c r="G71" s="1" t="str">
        <f t="shared" si="15"/>
        <v>C109_icon.png</v>
      </c>
      <c r="H71" s="1" t="str">
        <f t="shared" si="16"/>
        <v>C109_profilepicture.png</v>
      </c>
      <c r="I71" s="1" t="str">
        <f t="shared" si="17"/>
        <v>This is unit number C109</v>
      </c>
      <c r="J71" s="9">
        <v>41365</v>
      </c>
      <c r="K71" s="9">
        <v>45017</v>
      </c>
      <c r="M71" t="b">
        <v>1</v>
      </c>
    </row>
    <row r="72" spans="1:13">
      <c r="A72" s="1" t="s">
        <v>326</v>
      </c>
      <c r="B72" s="1" t="s">
        <v>240</v>
      </c>
      <c r="C72" s="1" t="str">
        <f t="shared" si="12"/>
        <v>C110@ganeshmeridian.live</v>
      </c>
      <c r="D72" s="1">
        <v>9856471311</v>
      </c>
      <c r="E72" s="1" t="str">
        <f t="shared" si="13"/>
        <v>www.C110.com</v>
      </c>
      <c r="F72" s="1" t="str">
        <f t="shared" si="14"/>
        <v>C110_logo.png</v>
      </c>
      <c r="G72" s="1" t="str">
        <f t="shared" si="15"/>
        <v>C110_icon.png</v>
      </c>
      <c r="H72" s="1" t="str">
        <f t="shared" si="16"/>
        <v>C110_profilepicture.png</v>
      </c>
      <c r="I72" s="1" t="str">
        <f t="shared" si="17"/>
        <v>This is unit number C110</v>
      </c>
      <c r="J72" s="9">
        <v>41365</v>
      </c>
      <c r="K72" s="9">
        <v>45017</v>
      </c>
      <c r="M72" t="b">
        <v>1</v>
      </c>
    </row>
    <row r="73" spans="1:13">
      <c r="A73" s="1" t="s">
        <v>324</v>
      </c>
      <c r="B73" s="1" t="s">
        <v>325</v>
      </c>
      <c r="C73" s="1" t="str">
        <f t="shared" si="12"/>
        <v>C111@ganeshmeridian.live</v>
      </c>
      <c r="D73" s="1">
        <v>9856471312</v>
      </c>
      <c r="E73" s="1" t="str">
        <f t="shared" si="13"/>
        <v>www.C111.com</v>
      </c>
      <c r="F73" s="1" t="str">
        <f t="shared" si="14"/>
        <v>C111_logo.png</v>
      </c>
      <c r="G73" s="1" t="str">
        <f t="shared" si="15"/>
        <v>C111_icon.png</v>
      </c>
      <c r="H73" s="1" t="str">
        <f t="shared" si="16"/>
        <v>C111_profilepicture.png</v>
      </c>
      <c r="I73" s="1" t="str">
        <f t="shared" si="17"/>
        <v>This is unit number C111</v>
      </c>
      <c r="J73" s="9">
        <v>41365</v>
      </c>
      <c r="K73" s="9">
        <v>45017</v>
      </c>
      <c r="M73" t="b">
        <v>1</v>
      </c>
    </row>
    <row r="74" spans="1:13">
      <c r="A74" s="1" t="s">
        <v>322</v>
      </c>
      <c r="B74" s="1" t="s">
        <v>263</v>
      </c>
      <c r="C74" s="1" t="str">
        <f t="shared" si="12"/>
        <v>C112@ganeshmeridian.live</v>
      </c>
      <c r="D74" s="1">
        <v>9856471313</v>
      </c>
      <c r="E74" s="1" t="str">
        <f t="shared" si="13"/>
        <v>www.C112.com</v>
      </c>
      <c r="F74" s="1" t="str">
        <f t="shared" si="14"/>
        <v>C112_logo.png</v>
      </c>
      <c r="G74" s="1" t="str">
        <f t="shared" si="15"/>
        <v>C112_icon.png</v>
      </c>
      <c r="H74" s="1" t="str">
        <f t="shared" si="16"/>
        <v>C112_profilepicture.png</v>
      </c>
      <c r="I74" s="1" t="str">
        <f t="shared" si="17"/>
        <v>This is unit number C112</v>
      </c>
      <c r="J74" s="9">
        <v>41365</v>
      </c>
      <c r="K74" s="9">
        <v>45017</v>
      </c>
      <c r="M74" t="b">
        <v>1</v>
      </c>
    </row>
    <row r="75" spans="1:13">
      <c r="A75" s="1" t="s">
        <v>320</v>
      </c>
      <c r="B75" s="1" t="s">
        <v>317</v>
      </c>
      <c r="C75" s="1" t="str">
        <f t="shared" si="12"/>
        <v>C113A@ganeshmeridian.live</v>
      </c>
      <c r="D75" s="1">
        <v>9856471314</v>
      </c>
      <c r="E75" s="1" t="str">
        <f t="shared" si="13"/>
        <v>www.C113A.com</v>
      </c>
      <c r="F75" s="1" t="str">
        <f t="shared" si="14"/>
        <v>C113A_logo.png</v>
      </c>
      <c r="G75" s="1" t="str">
        <f t="shared" si="15"/>
        <v>C113A_icon.png</v>
      </c>
      <c r="H75" s="1" t="str">
        <f t="shared" si="16"/>
        <v>C113A_profilepicture.png</v>
      </c>
      <c r="I75" s="1" t="str">
        <f t="shared" si="17"/>
        <v>This is unit number C113A</v>
      </c>
      <c r="J75" s="9">
        <v>41365</v>
      </c>
      <c r="K75" s="9">
        <v>45017</v>
      </c>
      <c r="M75" t="b">
        <v>1</v>
      </c>
    </row>
    <row r="76" spans="1:13">
      <c r="A76" s="1" t="s">
        <v>318</v>
      </c>
      <c r="B76" s="1" t="s">
        <v>438</v>
      </c>
      <c r="C76" s="1" t="str">
        <f t="shared" si="12"/>
        <v>C113B@ganeshmeridian.live</v>
      </c>
      <c r="D76" s="1">
        <v>9856471315</v>
      </c>
      <c r="E76" s="1" t="str">
        <f t="shared" si="13"/>
        <v>www.C113B.com</v>
      </c>
      <c r="F76" s="1" t="str">
        <f t="shared" si="14"/>
        <v>C113B_logo.png</v>
      </c>
      <c r="G76" s="1" t="str">
        <f t="shared" si="15"/>
        <v>C113B_icon.png</v>
      </c>
      <c r="H76" s="1" t="str">
        <f t="shared" si="16"/>
        <v>C113B_profilepicture.png</v>
      </c>
      <c r="I76" s="1" t="str">
        <f t="shared" si="17"/>
        <v>This is unit number C113B</v>
      </c>
      <c r="J76" s="9">
        <v>41365</v>
      </c>
      <c r="K76" s="9">
        <v>45017</v>
      </c>
      <c r="M76" t="b">
        <v>1</v>
      </c>
    </row>
    <row r="77" spans="1:13">
      <c r="A77" s="1" t="s">
        <v>312</v>
      </c>
      <c r="B77" s="1" t="s">
        <v>393</v>
      </c>
      <c r="C77" s="1" t="str">
        <f t="shared" si="12"/>
        <v>C203@ganeshmeridian.live</v>
      </c>
      <c r="D77" s="1">
        <v>9856471318</v>
      </c>
      <c r="E77" s="1" t="str">
        <f t="shared" si="13"/>
        <v>www.C203.com</v>
      </c>
      <c r="F77" s="1" t="str">
        <f t="shared" si="14"/>
        <v>C203_logo.png</v>
      </c>
      <c r="G77" s="1" t="str">
        <f t="shared" si="15"/>
        <v>C203_icon.png</v>
      </c>
      <c r="H77" s="1" t="str">
        <f t="shared" si="16"/>
        <v>C203_profilepicture.png</v>
      </c>
      <c r="I77" s="1" t="str">
        <f t="shared" si="17"/>
        <v>This is unit number C203</v>
      </c>
      <c r="J77" s="9">
        <v>41365</v>
      </c>
      <c r="K77" s="9">
        <v>45017</v>
      </c>
      <c r="M77" t="b">
        <v>1</v>
      </c>
    </row>
    <row r="78" spans="1:13">
      <c r="A78" s="1" t="s">
        <v>308</v>
      </c>
      <c r="B78" s="1" t="s">
        <v>335</v>
      </c>
      <c r="C78" s="1" t="str">
        <f t="shared" si="12"/>
        <v>C205@ganeshmeridian.live</v>
      </c>
      <c r="D78" s="1">
        <v>9856471320</v>
      </c>
      <c r="E78" s="1" t="str">
        <f t="shared" si="13"/>
        <v>www.C205.com</v>
      </c>
      <c r="F78" s="1" t="str">
        <f t="shared" si="14"/>
        <v>C205_logo.png</v>
      </c>
      <c r="G78" s="1" t="str">
        <f t="shared" si="15"/>
        <v>C205_icon.png</v>
      </c>
      <c r="H78" s="1" t="str">
        <f t="shared" si="16"/>
        <v>C205_profilepicture.png</v>
      </c>
      <c r="I78" s="1" t="str">
        <f t="shared" si="17"/>
        <v>This is unit number C205</v>
      </c>
      <c r="J78" s="9">
        <v>41365</v>
      </c>
      <c r="K78" s="9">
        <v>45017</v>
      </c>
      <c r="M78" t="b">
        <v>1</v>
      </c>
    </row>
    <row r="79" spans="1:13">
      <c r="A79" s="1" t="s">
        <v>306</v>
      </c>
      <c r="B79" s="1" t="s">
        <v>115</v>
      </c>
      <c r="C79" s="1" t="str">
        <f t="shared" si="12"/>
        <v>C206@ganeshmeridian.live</v>
      </c>
      <c r="D79" s="1">
        <v>9856471321</v>
      </c>
      <c r="E79" s="1" t="str">
        <f t="shared" si="13"/>
        <v>www.C206.com</v>
      </c>
      <c r="F79" s="1" t="str">
        <f t="shared" si="14"/>
        <v>C206_logo.png</v>
      </c>
      <c r="G79" s="1" t="str">
        <f t="shared" si="15"/>
        <v>C206_icon.png</v>
      </c>
      <c r="H79" s="1" t="str">
        <f t="shared" si="16"/>
        <v>C206_profilepicture.png</v>
      </c>
      <c r="I79" s="1" t="str">
        <f t="shared" si="17"/>
        <v>This is unit number C206</v>
      </c>
      <c r="J79" s="9">
        <v>41365</v>
      </c>
      <c r="K79" s="9">
        <v>45017</v>
      </c>
      <c r="M79" t="b">
        <v>1</v>
      </c>
    </row>
    <row r="80" spans="1:13">
      <c r="A80" s="1" t="s">
        <v>302</v>
      </c>
      <c r="B80" s="1" t="s">
        <v>22</v>
      </c>
      <c r="C80" s="1" t="str">
        <f t="shared" si="12"/>
        <v>C300@ganeshmeridian.live</v>
      </c>
      <c r="D80" s="1">
        <v>9856471323</v>
      </c>
      <c r="E80" s="1" t="str">
        <f t="shared" si="13"/>
        <v>www.C300.com</v>
      </c>
      <c r="F80" s="1" t="str">
        <f t="shared" si="14"/>
        <v>C300_logo.png</v>
      </c>
      <c r="G80" s="1" t="str">
        <f t="shared" si="15"/>
        <v>C300_icon.png</v>
      </c>
      <c r="H80" s="1" t="str">
        <f t="shared" si="16"/>
        <v>C300_profilepicture.png</v>
      </c>
      <c r="I80" s="1" t="str">
        <f t="shared" si="17"/>
        <v>This is unit number C300</v>
      </c>
      <c r="J80" s="9">
        <v>41365</v>
      </c>
      <c r="K80" s="9">
        <v>45017</v>
      </c>
      <c r="M80" t="b">
        <v>1</v>
      </c>
    </row>
    <row r="81" spans="1:13">
      <c r="A81" s="1" t="s">
        <v>300</v>
      </c>
      <c r="B81" s="1" t="s">
        <v>389</v>
      </c>
      <c r="C81" s="1" t="str">
        <f t="shared" si="12"/>
        <v>C301@ganeshmeridian.live</v>
      </c>
      <c r="D81" s="1">
        <v>9856471324</v>
      </c>
      <c r="E81" s="1" t="str">
        <f t="shared" si="13"/>
        <v>www.C301.com</v>
      </c>
      <c r="F81" s="1" t="str">
        <f t="shared" si="14"/>
        <v>C301_logo.png</v>
      </c>
      <c r="G81" s="1" t="str">
        <f t="shared" si="15"/>
        <v>C301_icon.png</v>
      </c>
      <c r="H81" s="1" t="str">
        <f t="shared" si="16"/>
        <v>C301_profilepicture.png</v>
      </c>
      <c r="I81" s="1" t="str">
        <f t="shared" si="17"/>
        <v>This is unit number C301</v>
      </c>
      <c r="J81" s="9">
        <v>41365</v>
      </c>
      <c r="K81" s="9">
        <v>45017</v>
      </c>
      <c r="M81" t="b">
        <v>1</v>
      </c>
    </row>
    <row r="82" spans="1:13">
      <c r="A82" s="1" t="s">
        <v>298</v>
      </c>
      <c r="B82" s="1" t="s">
        <v>213</v>
      </c>
      <c r="C82" s="1" t="str">
        <f t="shared" si="12"/>
        <v>C302@ganeshmeridian.live</v>
      </c>
      <c r="D82" s="1">
        <v>9856471325</v>
      </c>
      <c r="E82" s="1" t="str">
        <f t="shared" si="13"/>
        <v>www.C302.com</v>
      </c>
      <c r="F82" s="1" t="str">
        <f t="shared" si="14"/>
        <v>C302_logo.png</v>
      </c>
      <c r="G82" s="1" t="str">
        <f t="shared" si="15"/>
        <v>C302_icon.png</v>
      </c>
      <c r="H82" s="1" t="str">
        <f t="shared" si="16"/>
        <v>C302_profilepicture.png</v>
      </c>
      <c r="I82" s="1" t="str">
        <f t="shared" si="17"/>
        <v>This is unit number C302</v>
      </c>
      <c r="J82" s="9">
        <v>41365</v>
      </c>
      <c r="K82" s="9">
        <v>45017</v>
      </c>
      <c r="M82" t="b">
        <v>1</v>
      </c>
    </row>
    <row r="83" spans="1:13">
      <c r="A83" s="1" t="s">
        <v>294</v>
      </c>
      <c r="B83" s="1" t="s">
        <v>123</v>
      </c>
      <c r="C83" s="1" t="str">
        <f t="shared" si="12"/>
        <v>C303B@ganeshmeridian.live</v>
      </c>
      <c r="D83" s="1">
        <v>9856471327</v>
      </c>
      <c r="E83" s="1" t="str">
        <f t="shared" si="13"/>
        <v>www.C303B.com</v>
      </c>
      <c r="F83" s="1" t="str">
        <f t="shared" si="14"/>
        <v>C303B_logo.png</v>
      </c>
      <c r="G83" s="1" t="str">
        <f t="shared" si="15"/>
        <v>C303B_icon.png</v>
      </c>
      <c r="H83" s="1" t="str">
        <f t="shared" si="16"/>
        <v>C303B_profilepicture.png</v>
      </c>
      <c r="I83" s="1" t="str">
        <f t="shared" si="17"/>
        <v>This is unit number C303B</v>
      </c>
      <c r="J83" s="9">
        <v>41365</v>
      </c>
      <c r="K83" s="9">
        <v>45017</v>
      </c>
      <c r="M83" t="b">
        <v>1</v>
      </c>
    </row>
    <row r="84" spans="1:13">
      <c r="A84" s="1" t="s">
        <v>290</v>
      </c>
      <c r="B84" s="1" t="s">
        <v>146</v>
      </c>
      <c r="C84" s="1" t="str">
        <f t="shared" si="12"/>
        <v>C305A@ganeshmeridian.live</v>
      </c>
      <c r="D84" s="1">
        <v>9856471329</v>
      </c>
      <c r="E84" s="1" t="str">
        <f t="shared" si="13"/>
        <v>www.C305A.com</v>
      </c>
      <c r="F84" s="1" t="str">
        <f t="shared" si="14"/>
        <v>C305A_logo.png</v>
      </c>
      <c r="G84" s="1" t="str">
        <f t="shared" si="15"/>
        <v>C305A_icon.png</v>
      </c>
      <c r="H84" s="1" t="str">
        <f t="shared" si="16"/>
        <v>C305A_profilepicture.png</v>
      </c>
      <c r="I84" s="1" t="str">
        <f t="shared" si="17"/>
        <v>This is unit number C305A</v>
      </c>
      <c r="J84" s="9">
        <v>41365</v>
      </c>
      <c r="K84" s="9">
        <v>45017</v>
      </c>
      <c r="M84" t="b">
        <v>1</v>
      </c>
    </row>
    <row r="85" spans="1:13">
      <c r="A85" s="1" t="s">
        <v>288</v>
      </c>
      <c r="B85" s="1" t="s">
        <v>131</v>
      </c>
      <c r="C85" s="1" t="str">
        <f t="shared" si="12"/>
        <v>C305B@ganeshmeridian.live</v>
      </c>
      <c r="D85" s="1">
        <v>9856471330</v>
      </c>
      <c r="E85" s="1" t="str">
        <f t="shared" si="13"/>
        <v>www.C305B.com</v>
      </c>
      <c r="F85" s="1" t="str">
        <f t="shared" si="14"/>
        <v>C305B_logo.png</v>
      </c>
      <c r="G85" s="1" t="str">
        <f t="shared" si="15"/>
        <v>C305B_icon.png</v>
      </c>
      <c r="H85" s="1" t="str">
        <f t="shared" si="16"/>
        <v>C305B_profilepicture.png</v>
      </c>
      <c r="I85" s="1" t="str">
        <f t="shared" si="17"/>
        <v>This is unit number C305B</v>
      </c>
      <c r="J85" s="9">
        <v>41365</v>
      </c>
      <c r="K85" s="9">
        <v>45017</v>
      </c>
      <c r="M85" t="b">
        <v>1</v>
      </c>
    </row>
    <row r="86" spans="1:13">
      <c r="A86" s="1" t="s">
        <v>286</v>
      </c>
      <c r="B86" s="1" t="s">
        <v>235</v>
      </c>
      <c r="C86" s="1" t="str">
        <f t="shared" si="12"/>
        <v>C306@ganeshmeridian.live</v>
      </c>
      <c r="D86" s="1">
        <v>9856471331</v>
      </c>
      <c r="E86" s="1" t="str">
        <f t="shared" si="13"/>
        <v>www.C306.com</v>
      </c>
      <c r="F86" s="1" t="str">
        <f t="shared" si="14"/>
        <v>C306_logo.png</v>
      </c>
      <c r="G86" s="1" t="str">
        <f t="shared" si="15"/>
        <v>C306_icon.png</v>
      </c>
      <c r="H86" s="1" t="str">
        <f t="shared" si="16"/>
        <v>C306_profilepicture.png</v>
      </c>
      <c r="I86" s="1" t="str">
        <f t="shared" si="17"/>
        <v>This is unit number C306</v>
      </c>
      <c r="J86" s="9">
        <v>41365</v>
      </c>
      <c r="K86" s="9">
        <v>45017</v>
      </c>
      <c r="M86" t="b">
        <v>1</v>
      </c>
    </row>
    <row r="87" spans="1:13">
      <c r="A87" s="1" t="s">
        <v>284</v>
      </c>
      <c r="B87" s="1" t="s">
        <v>412</v>
      </c>
      <c r="C87" s="1" t="str">
        <f t="shared" si="12"/>
        <v>C307@ganeshmeridian.live</v>
      </c>
      <c r="D87" s="1">
        <v>9856471332</v>
      </c>
      <c r="E87" s="1" t="str">
        <f t="shared" si="13"/>
        <v>www.C307.com</v>
      </c>
      <c r="F87" s="1" t="str">
        <f t="shared" si="14"/>
        <v>C307_logo.png</v>
      </c>
      <c r="G87" s="1" t="str">
        <f t="shared" si="15"/>
        <v>C307_icon.png</v>
      </c>
      <c r="H87" s="1" t="str">
        <f t="shared" si="16"/>
        <v>C307_profilepicture.png</v>
      </c>
      <c r="I87" s="1" t="str">
        <f t="shared" si="17"/>
        <v>This is unit number C307</v>
      </c>
      <c r="J87" s="9">
        <v>41365</v>
      </c>
      <c r="K87" s="9">
        <v>45017</v>
      </c>
      <c r="M87" t="b">
        <v>1</v>
      </c>
    </row>
    <row r="88" spans="1:13">
      <c r="A88" s="1" t="s">
        <v>280</v>
      </c>
      <c r="B88" s="1" t="s">
        <v>387</v>
      </c>
      <c r="C88" s="1" t="str">
        <f t="shared" si="12"/>
        <v>C309@ganeshmeridian.live</v>
      </c>
      <c r="D88" s="1">
        <v>9856471334</v>
      </c>
      <c r="E88" s="1" t="str">
        <f t="shared" si="13"/>
        <v>www.C309.com</v>
      </c>
      <c r="F88" s="1" t="str">
        <f t="shared" si="14"/>
        <v>C309_logo.png</v>
      </c>
      <c r="G88" s="1" t="str">
        <f t="shared" si="15"/>
        <v>C309_icon.png</v>
      </c>
      <c r="H88" s="1" t="str">
        <f t="shared" si="16"/>
        <v>C309_profilepicture.png</v>
      </c>
      <c r="I88" s="1" t="str">
        <f t="shared" si="17"/>
        <v>This is unit number C309</v>
      </c>
      <c r="J88" s="9">
        <v>41365</v>
      </c>
      <c r="K88" s="9">
        <v>45017</v>
      </c>
      <c r="M88" t="b">
        <v>1</v>
      </c>
    </row>
    <row r="89" spans="1:13">
      <c r="A89" s="1" t="s">
        <v>278</v>
      </c>
      <c r="B89" s="1" t="s">
        <v>144</v>
      </c>
      <c r="C89" s="1" t="str">
        <f t="shared" si="12"/>
        <v>C401@ganeshmeridian.live</v>
      </c>
      <c r="D89" s="1">
        <v>9856471335</v>
      </c>
      <c r="E89" s="1" t="str">
        <f t="shared" si="13"/>
        <v>www.C401.com</v>
      </c>
      <c r="F89" s="1" t="str">
        <f t="shared" si="14"/>
        <v>C401_logo.png</v>
      </c>
      <c r="G89" s="1" t="str">
        <f t="shared" si="15"/>
        <v>C401_icon.png</v>
      </c>
      <c r="H89" s="1" t="str">
        <f t="shared" si="16"/>
        <v>C401_profilepicture.png</v>
      </c>
      <c r="I89" s="1" t="str">
        <f t="shared" si="17"/>
        <v>This is unit number C401</v>
      </c>
      <c r="J89" s="9">
        <v>41365</v>
      </c>
      <c r="K89" s="9">
        <v>45017</v>
      </c>
      <c r="M89" t="b">
        <v>1</v>
      </c>
    </row>
    <row r="90" spans="1:13">
      <c r="A90" s="1" t="s">
        <v>276</v>
      </c>
      <c r="B90" s="1" t="s">
        <v>154</v>
      </c>
      <c r="C90" s="1" t="str">
        <f t="shared" si="12"/>
        <v>C402@ganeshmeridian.live</v>
      </c>
      <c r="D90" s="1">
        <v>9856471336</v>
      </c>
      <c r="E90" s="1" t="str">
        <f t="shared" si="13"/>
        <v>www.C402.com</v>
      </c>
      <c r="F90" s="1" t="str">
        <f t="shared" si="14"/>
        <v>C402_logo.png</v>
      </c>
      <c r="G90" s="1" t="str">
        <f t="shared" si="15"/>
        <v>C402_icon.png</v>
      </c>
      <c r="H90" s="1" t="str">
        <f t="shared" si="16"/>
        <v>C402_profilepicture.png</v>
      </c>
      <c r="I90" s="1" t="str">
        <f t="shared" si="17"/>
        <v>This is unit number C402</v>
      </c>
      <c r="J90" s="9">
        <v>41365</v>
      </c>
      <c r="K90" s="9">
        <v>45017</v>
      </c>
      <c r="M90" t="b">
        <v>1</v>
      </c>
    </row>
    <row r="91" spans="1:13">
      <c r="A91" s="1" t="s">
        <v>274</v>
      </c>
      <c r="B91" s="1" t="s">
        <v>3</v>
      </c>
      <c r="C91" s="1" t="str">
        <f t="shared" si="12"/>
        <v>C403A@ganeshmeridian.live</v>
      </c>
      <c r="D91" s="1">
        <v>9856471337</v>
      </c>
      <c r="E91" s="1" t="str">
        <f t="shared" si="13"/>
        <v>www.C403A.com</v>
      </c>
      <c r="F91" s="1" t="str">
        <f t="shared" si="14"/>
        <v>C403A_logo.png</v>
      </c>
      <c r="G91" s="1" t="str">
        <f t="shared" si="15"/>
        <v>C403A_icon.png</v>
      </c>
      <c r="H91" s="1" t="str">
        <f t="shared" si="16"/>
        <v>C403A_profilepicture.png</v>
      </c>
      <c r="I91" s="1" t="str">
        <f t="shared" si="17"/>
        <v>This is unit number C403A</v>
      </c>
      <c r="J91" s="9">
        <v>41365</v>
      </c>
      <c r="K91" s="9">
        <v>45017</v>
      </c>
      <c r="M91" t="b">
        <v>1</v>
      </c>
    </row>
    <row r="92" spans="1:13">
      <c r="A92" s="1" t="s">
        <v>272</v>
      </c>
      <c r="B92" s="1" t="s">
        <v>408</v>
      </c>
      <c r="C92" s="1" t="str">
        <f t="shared" si="12"/>
        <v>C403B@ganeshmeridian.live</v>
      </c>
      <c r="D92" s="1">
        <v>9856471338</v>
      </c>
      <c r="E92" s="1" t="str">
        <f t="shared" si="13"/>
        <v>www.C403B.com</v>
      </c>
      <c r="F92" s="1" t="str">
        <f t="shared" si="14"/>
        <v>C403B_logo.png</v>
      </c>
      <c r="G92" s="1" t="str">
        <f t="shared" si="15"/>
        <v>C403B_icon.png</v>
      </c>
      <c r="H92" s="1" t="str">
        <f t="shared" si="16"/>
        <v>C403B_profilepicture.png</v>
      </c>
      <c r="I92" s="1" t="str">
        <f t="shared" si="17"/>
        <v>This is unit number C403B</v>
      </c>
      <c r="J92" s="9">
        <v>41365</v>
      </c>
      <c r="K92" s="9">
        <v>45017</v>
      </c>
      <c r="M92" t="b">
        <v>1</v>
      </c>
    </row>
    <row r="93" spans="1:13">
      <c r="A93" s="1" t="s">
        <v>264</v>
      </c>
      <c r="B93" s="1" t="s">
        <v>129</v>
      </c>
      <c r="C93" s="1" t="str">
        <f t="shared" si="12"/>
        <v>C406@ganeshmeridian.live</v>
      </c>
      <c r="D93" s="1">
        <v>9856471342</v>
      </c>
      <c r="E93" s="1" t="str">
        <f t="shared" si="13"/>
        <v>www.C406.com</v>
      </c>
      <c r="F93" s="1" t="str">
        <f t="shared" si="14"/>
        <v>C406_logo.png</v>
      </c>
      <c r="G93" s="1" t="str">
        <f t="shared" si="15"/>
        <v>C406_icon.png</v>
      </c>
      <c r="H93" s="1" t="str">
        <f t="shared" si="16"/>
        <v>C406_profilepicture.png</v>
      </c>
      <c r="I93" s="1" t="str">
        <f t="shared" si="17"/>
        <v>This is unit number C406</v>
      </c>
      <c r="J93" s="9">
        <v>41365</v>
      </c>
      <c r="K93" s="9">
        <v>45017</v>
      </c>
      <c r="M93" t="b">
        <v>1</v>
      </c>
    </row>
    <row r="94" spans="1:13">
      <c r="A94" s="1" t="s">
        <v>262</v>
      </c>
      <c r="B94" s="1" t="s">
        <v>452</v>
      </c>
      <c r="C94" s="1" t="str">
        <f t="shared" si="12"/>
        <v>C407@ganeshmeridian.live</v>
      </c>
      <c r="D94" s="1">
        <v>9856471343</v>
      </c>
      <c r="E94" s="1" t="str">
        <f t="shared" si="13"/>
        <v>www.C407.com</v>
      </c>
      <c r="F94" s="1" t="str">
        <f t="shared" si="14"/>
        <v>C407_logo.png</v>
      </c>
      <c r="G94" s="1" t="str">
        <f t="shared" si="15"/>
        <v>C407_icon.png</v>
      </c>
      <c r="H94" s="1" t="str">
        <f t="shared" si="16"/>
        <v>C407_profilepicture.png</v>
      </c>
      <c r="I94" s="1" t="str">
        <f t="shared" si="17"/>
        <v>This is unit number C407</v>
      </c>
      <c r="J94" s="9">
        <v>41365</v>
      </c>
      <c r="K94" s="9">
        <v>45017</v>
      </c>
      <c r="M94" t="b">
        <v>1</v>
      </c>
    </row>
    <row r="95" spans="1:13">
      <c r="A95" s="1" t="s">
        <v>260</v>
      </c>
      <c r="B95" s="1" t="s">
        <v>303</v>
      </c>
      <c r="C95" s="1" t="str">
        <f t="shared" si="12"/>
        <v>C408@ganeshmeridian.live</v>
      </c>
      <c r="D95" s="1">
        <v>9856471344</v>
      </c>
      <c r="E95" s="1" t="str">
        <f t="shared" si="13"/>
        <v>www.C408.com</v>
      </c>
      <c r="F95" s="1" t="str">
        <f t="shared" si="14"/>
        <v>C408_logo.png</v>
      </c>
      <c r="G95" s="1" t="str">
        <f t="shared" si="15"/>
        <v>C408_icon.png</v>
      </c>
      <c r="H95" s="1" t="str">
        <f t="shared" si="16"/>
        <v>C408_profilepicture.png</v>
      </c>
      <c r="I95" s="1" t="str">
        <f t="shared" si="17"/>
        <v>This is unit number C408</v>
      </c>
      <c r="J95" s="9">
        <v>41365</v>
      </c>
      <c r="K95" s="9">
        <v>45017</v>
      </c>
      <c r="M95" t="b">
        <v>1</v>
      </c>
    </row>
    <row r="96" spans="1:13">
      <c r="A96" s="1" t="s">
        <v>249</v>
      </c>
      <c r="B96" s="1" t="s">
        <v>313</v>
      </c>
      <c r="C96" s="1" t="str">
        <f t="shared" si="12"/>
        <v>C503A@ganeshmeridian.live</v>
      </c>
      <c r="D96" s="1">
        <v>9856471350</v>
      </c>
      <c r="E96" s="1" t="str">
        <f t="shared" si="13"/>
        <v>www.C503A.com</v>
      </c>
      <c r="F96" s="1" t="str">
        <f t="shared" si="14"/>
        <v>C503A_logo.png</v>
      </c>
      <c r="G96" s="1" t="str">
        <f t="shared" si="15"/>
        <v>C503A_icon.png</v>
      </c>
      <c r="H96" s="1" t="str">
        <f t="shared" si="16"/>
        <v>C503A_profilepicture.png</v>
      </c>
      <c r="I96" s="1" t="str">
        <f t="shared" si="17"/>
        <v>This is unit number C503A</v>
      </c>
      <c r="J96" s="9">
        <v>41365</v>
      </c>
      <c r="K96" s="9">
        <v>45017</v>
      </c>
      <c r="M96" t="b">
        <v>1</v>
      </c>
    </row>
    <row r="97" spans="1:13">
      <c r="A97" s="1" t="s">
        <v>247</v>
      </c>
      <c r="B97" s="1" t="s">
        <v>205</v>
      </c>
      <c r="C97" s="1" t="str">
        <f t="shared" si="12"/>
        <v>C503B@ganeshmeridian.live</v>
      </c>
      <c r="D97" s="1">
        <v>9856471351</v>
      </c>
      <c r="E97" s="1" t="str">
        <f t="shared" si="13"/>
        <v>www.C503B.com</v>
      </c>
      <c r="F97" s="1" t="str">
        <f t="shared" si="14"/>
        <v>C503B_logo.png</v>
      </c>
      <c r="G97" s="1" t="str">
        <f t="shared" si="15"/>
        <v>C503B_icon.png</v>
      </c>
      <c r="H97" s="1" t="str">
        <f t="shared" si="16"/>
        <v>C503B_profilepicture.png</v>
      </c>
      <c r="I97" s="1" t="str">
        <f t="shared" si="17"/>
        <v>This is unit number C503B</v>
      </c>
      <c r="J97" s="9">
        <v>41365</v>
      </c>
      <c r="K97" s="9">
        <v>45017</v>
      </c>
      <c r="M97" t="b">
        <v>1</v>
      </c>
    </row>
    <row r="98" spans="1:13">
      <c r="A98" s="1" t="s">
        <v>245</v>
      </c>
      <c r="B98" s="1" t="s">
        <v>391</v>
      </c>
      <c r="C98" s="1" t="str">
        <f t="shared" ref="C98:C129" si="18">A98&amp;"@ganeshmeridian.live"</f>
        <v>C503C@ganeshmeridian.live</v>
      </c>
      <c r="D98" s="1">
        <v>9856471352</v>
      </c>
      <c r="E98" s="1" t="str">
        <f t="shared" ref="E98:E129" si="19">"www." &amp;A98 &amp; ".com"</f>
        <v>www.C503C.com</v>
      </c>
      <c r="F98" s="1" t="str">
        <f t="shared" ref="F98:F129" si="20">A98&amp;"_logo.png"</f>
        <v>C503C_logo.png</v>
      </c>
      <c r="G98" s="1" t="str">
        <f t="shared" ref="G98:G129" si="21">A98&amp;"_icon.png"</f>
        <v>C503C_icon.png</v>
      </c>
      <c r="H98" s="1" t="str">
        <f t="shared" ref="H98:H129" si="22">A98&amp;"_profilepicture.png"</f>
        <v>C503C_profilepicture.png</v>
      </c>
      <c r="I98" s="1" t="str">
        <f t="shared" ref="I98:I129" si="23">"This is unit number " &amp; A98</f>
        <v>This is unit number C503C</v>
      </c>
      <c r="J98" s="9">
        <v>41365</v>
      </c>
      <c r="K98" s="9">
        <v>45017</v>
      </c>
      <c r="M98" t="b">
        <v>1</v>
      </c>
    </row>
    <row r="99" spans="1:13">
      <c r="A99" s="1" t="s">
        <v>243</v>
      </c>
      <c r="B99" s="1" t="s">
        <v>160</v>
      </c>
      <c r="C99" s="1" t="str">
        <f t="shared" si="18"/>
        <v>C503D@ganeshmeridian.live</v>
      </c>
      <c r="D99" s="1">
        <v>9856471353</v>
      </c>
      <c r="E99" s="1" t="str">
        <f t="shared" si="19"/>
        <v>www.C503D.com</v>
      </c>
      <c r="F99" s="1" t="str">
        <f t="shared" si="20"/>
        <v>C503D_logo.png</v>
      </c>
      <c r="G99" s="1" t="str">
        <f t="shared" si="21"/>
        <v>C503D_icon.png</v>
      </c>
      <c r="H99" s="1" t="str">
        <f t="shared" si="22"/>
        <v>C503D_profilepicture.png</v>
      </c>
      <c r="I99" s="1" t="str">
        <f t="shared" si="23"/>
        <v>This is unit number C503D</v>
      </c>
      <c r="J99" s="9">
        <v>41365</v>
      </c>
      <c r="K99" s="9">
        <v>45017</v>
      </c>
      <c r="M99" t="b">
        <v>1</v>
      </c>
    </row>
    <row r="100" spans="1:13">
      <c r="A100" s="1" t="s">
        <v>237</v>
      </c>
      <c r="B100" s="1" t="s">
        <v>416</v>
      </c>
      <c r="C100" s="1" t="str">
        <f t="shared" si="18"/>
        <v>C504C@ganeshmeridian.live</v>
      </c>
      <c r="D100" s="1">
        <v>9856471356</v>
      </c>
      <c r="E100" s="1" t="str">
        <f t="shared" si="19"/>
        <v>www.C504C.com</v>
      </c>
      <c r="F100" s="1" t="str">
        <f t="shared" si="20"/>
        <v>C504C_logo.png</v>
      </c>
      <c r="G100" s="1" t="str">
        <f t="shared" si="21"/>
        <v>C504C_icon.png</v>
      </c>
      <c r="H100" s="1" t="str">
        <f t="shared" si="22"/>
        <v>C504C_profilepicture.png</v>
      </c>
      <c r="I100" s="1" t="str">
        <f t="shared" si="23"/>
        <v>This is unit number C504C</v>
      </c>
      <c r="J100" s="9">
        <v>41365</v>
      </c>
      <c r="K100" s="9">
        <v>45017</v>
      </c>
      <c r="M100" t="b">
        <v>1</v>
      </c>
    </row>
    <row r="101" spans="1:13">
      <c r="A101" s="1" t="s">
        <v>236</v>
      </c>
      <c r="B101" s="1" t="s">
        <v>352</v>
      </c>
      <c r="C101" s="1" t="str">
        <f t="shared" si="18"/>
        <v>C505A@ganeshmeridian.live</v>
      </c>
      <c r="D101" s="1">
        <v>9856471357</v>
      </c>
      <c r="E101" s="1" t="str">
        <f t="shared" si="19"/>
        <v>www.C505A.com</v>
      </c>
      <c r="F101" s="1" t="str">
        <f t="shared" si="20"/>
        <v>C505A_logo.png</v>
      </c>
      <c r="G101" s="1" t="str">
        <f t="shared" si="21"/>
        <v>C505A_icon.png</v>
      </c>
      <c r="H101" s="1" t="str">
        <f t="shared" si="22"/>
        <v>C505A_profilepicture.png</v>
      </c>
      <c r="I101" s="1" t="str">
        <f t="shared" si="23"/>
        <v>This is unit number C505A</v>
      </c>
      <c r="J101" s="9">
        <v>41365</v>
      </c>
      <c r="K101" s="9">
        <v>45017</v>
      </c>
      <c r="M101" t="b">
        <v>1</v>
      </c>
    </row>
    <row r="102" spans="1:13">
      <c r="A102" s="1" t="s">
        <v>230</v>
      </c>
      <c r="B102" s="1" t="s">
        <v>348</v>
      </c>
      <c r="C102" s="1" t="str">
        <f t="shared" si="18"/>
        <v>C506B@ganeshmeridian.live</v>
      </c>
      <c r="D102" s="1">
        <v>9856471360</v>
      </c>
      <c r="E102" s="1" t="str">
        <f t="shared" si="19"/>
        <v>www.C506B.com</v>
      </c>
      <c r="F102" s="1" t="str">
        <f t="shared" si="20"/>
        <v>C506B_logo.png</v>
      </c>
      <c r="G102" s="1" t="str">
        <f t="shared" si="21"/>
        <v>C506B_icon.png</v>
      </c>
      <c r="H102" s="1" t="str">
        <f t="shared" si="22"/>
        <v>C506B_profilepicture.png</v>
      </c>
      <c r="I102" s="1" t="str">
        <f t="shared" si="23"/>
        <v>This is unit number C506B</v>
      </c>
      <c r="J102" s="9">
        <v>41365</v>
      </c>
      <c r="K102" s="9">
        <v>45017</v>
      </c>
      <c r="M102" t="b">
        <v>1</v>
      </c>
    </row>
    <row r="103" spans="1:13">
      <c r="A103" s="1" t="s">
        <v>228</v>
      </c>
      <c r="B103" s="1" t="s">
        <v>191</v>
      </c>
      <c r="C103" s="1" t="str">
        <f t="shared" si="18"/>
        <v>C507A@ganeshmeridian.live</v>
      </c>
      <c r="D103" s="1">
        <v>9856471361</v>
      </c>
      <c r="E103" s="1" t="str">
        <f t="shared" si="19"/>
        <v>www.C507A.com</v>
      </c>
      <c r="F103" s="1" t="str">
        <f t="shared" si="20"/>
        <v>C507A_logo.png</v>
      </c>
      <c r="G103" s="1" t="str">
        <f t="shared" si="21"/>
        <v>C507A_icon.png</v>
      </c>
      <c r="H103" s="1" t="str">
        <f t="shared" si="22"/>
        <v>C507A_profilepicture.png</v>
      </c>
      <c r="I103" s="1" t="str">
        <f t="shared" si="23"/>
        <v>This is unit number C507A</v>
      </c>
      <c r="J103" s="9">
        <v>41365</v>
      </c>
      <c r="K103" s="9">
        <v>45017</v>
      </c>
      <c r="M103" t="b">
        <v>1</v>
      </c>
    </row>
    <row r="104" spans="1:13">
      <c r="A104" s="1" t="s">
        <v>224</v>
      </c>
      <c r="B104" s="1" t="s">
        <v>238</v>
      </c>
      <c r="C104" s="1" t="str">
        <f t="shared" si="18"/>
        <v>C508B@ganeshmeridian.live</v>
      </c>
      <c r="D104" s="1">
        <v>9856471363</v>
      </c>
      <c r="E104" s="1" t="str">
        <f t="shared" si="19"/>
        <v>www.C508B.com</v>
      </c>
      <c r="F104" s="1" t="str">
        <f t="shared" si="20"/>
        <v>C508B_logo.png</v>
      </c>
      <c r="G104" s="1" t="str">
        <f t="shared" si="21"/>
        <v>C508B_icon.png</v>
      </c>
      <c r="H104" s="1" t="str">
        <f t="shared" si="22"/>
        <v>C508B_profilepicture.png</v>
      </c>
      <c r="I104" s="1" t="str">
        <f t="shared" si="23"/>
        <v>This is unit number C508B</v>
      </c>
      <c r="J104" s="9">
        <v>41365</v>
      </c>
      <c r="K104" s="9">
        <v>45017</v>
      </c>
      <c r="M104" t="b">
        <v>1</v>
      </c>
    </row>
    <row r="105" spans="1:13">
      <c r="A105" s="1" t="s">
        <v>222</v>
      </c>
      <c r="B105" s="1" t="s">
        <v>177</v>
      </c>
      <c r="C105" s="1" t="str">
        <f t="shared" si="18"/>
        <v>C509A@ganeshmeridian.live</v>
      </c>
      <c r="D105" s="1">
        <v>9856471364</v>
      </c>
      <c r="E105" s="1" t="str">
        <f t="shared" si="19"/>
        <v>www.C509A.com</v>
      </c>
      <c r="F105" s="1" t="str">
        <f t="shared" si="20"/>
        <v>C509A_logo.png</v>
      </c>
      <c r="G105" s="1" t="str">
        <f t="shared" si="21"/>
        <v>C509A_icon.png</v>
      </c>
      <c r="H105" s="1" t="str">
        <f t="shared" si="22"/>
        <v>C509A_profilepicture.png</v>
      </c>
      <c r="I105" s="1" t="str">
        <f t="shared" si="23"/>
        <v>This is unit number C509A</v>
      </c>
      <c r="J105" s="9">
        <v>41365</v>
      </c>
      <c r="K105" s="9">
        <v>45017</v>
      </c>
      <c r="M105" t="b">
        <v>1</v>
      </c>
    </row>
    <row r="106" spans="1:13">
      <c r="A106" s="1" t="s">
        <v>220</v>
      </c>
      <c r="B106" s="1" t="s">
        <v>175</v>
      </c>
      <c r="C106" s="1" t="str">
        <f t="shared" si="18"/>
        <v>C509B@ganeshmeridian.live</v>
      </c>
      <c r="D106" s="1">
        <v>9856471365</v>
      </c>
      <c r="E106" s="1" t="str">
        <f t="shared" si="19"/>
        <v>www.C509B.com</v>
      </c>
      <c r="F106" s="1" t="str">
        <f t="shared" si="20"/>
        <v>C509B_logo.png</v>
      </c>
      <c r="G106" s="1" t="str">
        <f t="shared" si="21"/>
        <v>C509B_icon.png</v>
      </c>
      <c r="H106" s="1" t="str">
        <f t="shared" si="22"/>
        <v>C509B_profilepicture.png</v>
      </c>
      <c r="I106" s="1" t="str">
        <f t="shared" si="23"/>
        <v>This is unit number C509B</v>
      </c>
      <c r="J106" s="9">
        <v>41365</v>
      </c>
      <c r="K106" s="9">
        <v>45017</v>
      </c>
      <c r="M106" t="b">
        <v>1</v>
      </c>
    </row>
    <row r="107" spans="1:13">
      <c r="A107" s="1" t="s">
        <v>216</v>
      </c>
      <c r="B107" s="1" t="s">
        <v>117</v>
      </c>
      <c r="C107" s="1" t="str">
        <f t="shared" si="18"/>
        <v>C602A@ganeshmeridian.live</v>
      </c>
      <c r="D107" s="1">
        <v>9856471367</v>
      </c>
      <c r="E107" s="1" t="str">
        <f t="shared" si="19"/>
        <v>www.C602A.com</v>
      </c>
      <c r="F107" s="1" t="str">
        <f t="shared" si="20"/>
        <v>C602A_logo.png</v>
      </c>
      <c r="G107" s="1" t="str">
        <f t="shared" si="21"/>
        <v>C602A_icon.png</v>
      </c>
      <c r="H107" s="1" t="str">
        <f t="shared" si="22"/>
        <v>C602A_profilepicture.png</v>
      </c>
      <c r="I107" s="1" t="str">
        <f t="shared" si="23"/>
        <v>This is unit number C602A</v>
      </c>
      <c r="J107" s="9">
        <v>41365</v>
      </c>
      <c r="K107" s="9">
        <v>45017</v>
      </c>
      <c r="M107" t="b">
        <v>1</v>
      </c>
    </row>
    <row r="108" spans="1:13">
      <c r="A108" s="1" t="s">
        <v>214</v>
      </c>
      <c r="B108" s="1" t="s">
        <v>203</v>
      </c>
      <c r="C108" s="1" t="str">
        <f t="shared" si="18"/>
        <v>C602B@ganeshmeridian.live</v>
      </c>
      <c r="D108" s="1">
        <v>9856471368</v>
      </c>
      <c r="E108" s="1" t="str">
        <f t="shared" si="19"/>
        <v>www.C602B.com</v>
      </c>
      <c r="F108" s="1" t="str">
        <f t="shared" si="20"/>
        <v>C602B_logo.png</v>
      </c>
      <c r="G108" s="1" t="str">
        <f t="shared" si="21"/>
        <v>C602B_icon.png</v>
      </c>
      <c r="H108" s="1" t="str">
        <f t="shared" si="22"/>
        <v>C602B_profilepicture.png</v>
      </c>
      <c r="I108" s="1" t="str">
        <f t="shared" si="23"/>
        <v>This is unit number C602B</v>
      </c>
      <c r="J108" s="9">
        <v>41365</v>
      </c>
      <c r="K108" s="9">
        <v>45017</v>
      </c>
      <c r="M108" t="b">
        <v>1</v>
      </c>
    </row>
    <row r="109" spans="1:13">
      <c r="A109" s="1" t="s">
        <v>212</v>
      </c>
      <c r="B109" s="1" t="s">
        <v>150</v>
      </c>
      <c r="C109" s="1" t="str">
        <f t="shared" si="18"/>
        <v>C602C@ganeshmeridian.live</v>
      </c>
      <c r="D109" s="1">
        <v>9856471369</v>
      </c>
      <c r="E109" s="1" t="str">
        <f t="shared" si="19"/>
        <v>www.C602C.com</v>
      </c>
      <c r="F109" s="1" t="str">
        <f t="shared" si="20"/>
        <v>C602C_logo.png</v>
      </c>
      <c r="G109" s="1" t="str">
        <f t="shared" si="21"/>
        <v>C602C_icon.png</v>
      </c>
      <c r="H109" s="1" t="str">
        <f t="shared" si="22"/>
        <v>C602C_profilepicture.png</v>
      </c>
      <c r="I109" s="1" t="str">
        <f t="shared" si="23"/>
        <v>This is unit number C602C</v>
      </c>
      <c r="J109" s="9">
        <v>41365</v>
      </c>
      <c r="K109" s="9">
        <v>45017</v>
      </c>
      <c r="M109" t="b">
        <v>1</v>
      </c>
    </row>
    <row r="110" spans="1:13">
      <c r="A110" s="1" t="s">
        <v>210</v>
      </c>
      <c r="B110" s="1" t="s">
        <v>8</v>
      </c>
      <c r="C110" s="1" t="str">
        <f t="shared" si="18"/>
        <v>C603A@ganeshmeridian.live</v>
      </c>
      <c r="D110" s="1">
        <v>9856471370</v>
      </c>
      <c r="E110" s="1" t="str">
        <f t="shared" si="19"/>
        <v>www.C603A.com</v>
      </c>
      <c r="F110" s="1" t="str">
        <f t="shared" si="20"/>
        <v>C603A_logo.png</v>
      </c>
      <c r="G110" s="1" t="str">
        <f t="shared" si="21"/>
        <v>C603A_icon.png</v>
      </c>
      <c r="H110" s="1" t="str">
        <f t="shared" si="22"/>
        <v>C603A_profilepicture.png</v>
      </c>
      <c r="I110" s="1" t="str">
        <f t="shared" si="23"/>
        <v>This is unit number C603A</v>
      </c>
      <c r="J110" s="9">
        <v>41365</v>
      </c>
      <c r="K110" s="9">
        <v>45017</v>
      </c>
      <c r="M110" t="b">
        <v>1</v>
      </c>
    </row>
    <row r="111" spans="1:13">
      <c r="A111" s="1" t="s">
        <v>208</v>
      </c>
      <c r="B111" s="1" t="s">
        <v>333</v>
      </c>
      <c r="C111" s="1" t="str">
        <f t="shared" si="18"/>
        <v>C603B@ganeshmeridian.live</v>
      </c>
      <c r="D111" s="1">
        <v>9856471371</v>
      </c>
      <c r="E111" s="1" t="str">
        <f t="shared" si="19"/>
        <v>www.C603B.com</v>
      </c>
      <c r="F111" s="1" t="str">
        <f t="shared" si="20"/>
        <v>C603B_logo.png</v>
      </c>
      <c r="G111" s="1" t="str">
        <f t="shared" si="21"/>
        <v>C603B_icon.png</v>
      </c>
      <c r="H111" s="1" t="str">
        <f t="shared" si="22"/>
        <v>C603B_profilepicture.png</v>
      </c>
      <c r="I111" s="1" t="str">
        <f t="shared" si="23"/>
        <v>This is unit number C603B</v>
      </c>
      <c r="J111" s="9">
        <v>41365</v>
      </c>
      <c r="K111" s="9">
        <v>45017</v>
      </c>
      <c r="M111" t="b">
        <v>1</v>
      </c>
    </row>
    <row r="112" spans="1:13">
      <c r="A112" s="1" t="s">
        <v>206</v>
      </c>
      <c r="B112" s="1" t="s">
        <v>133</v>
      </c>
      <c r="C112" s="1" t="str">
        <f t="shared" si="18"/>
        <v>C603C@ganeshmeridian.live</v>
      </c>
      <c r="D112" s="1">
        <v>9856471372</v>
      </c>
      <c r="E112" s="1" t="str">
        <f t="shared" si="19"/>
        <v>www.C603C.com</v>
      </c>
      <c r="F112" s="1" t="str">
        <f t="shared" si="20"/>
        <v>C603C_logo.png</v>
      </c>
      <c r="G112" s="1" t="str">
        <f t="shared" si="21"/>
        <v>C603C_icon.png</v>
      </c>
      <c r="H112" s="1" t="str">
        <f t="shared" si="22"/>
        <v>C603C_profilepicture.png</v>
      </c>
      <c r="I112" s="1" t="str">
        <f t="shared" si="23"/>
        <v>This is unit number C603C</v>
      </c>
      <c r="J112" s="9">
        <v>41365</v>
      </c>
      <c r="K112" s="9">
        <v>45017</v>
      </c>
      <c r="M112" t="b">
        <v>1</v>
      </c>
    </row>
    <row r="113" spans="1:13">
      <c r="A113" s="1" t="s">
        <v>202</v>
      </c>
      <c r="B113" s="1" t="s">
        <v>221</v>
      </c>
      <c r="C113" s="1" t="str">
        <f t="shared" si="18"/>
        <v>C604A@ganeshmeridian.live</v>
      </c>
      <c r="D113" s="1">
        <v>9856471374</v>
      </c>
      <c r="E113" s="1" t="str">
        <f t="shared" si="19"/>
        <v>www.C604A.com</v>
      </c>
      <c r="F113" s="1" t="str">
        <f t="shared" si="20"/>
        <v>C604A_logo.png</v>
      </c>
      <c r="G113" s="1" t="str">
        <f t="shared" si="21"/>
        <v>C604A_icon.png</v>
      </c>
      <c r="H113" s="1" t="str">
        <f t="shared" si="22"/>
        <v>C604A_profilepicture.png</v>
      </c>
      <c r="I113" s="1" t="str">
        <f t="shared" si="23"/>
        <v>This is unit number C604A</v>
      </c>
      <c r="J113" s="9">
        <v>41365</v>
      </c>
      <c r="K113" s="9">
        <v>45017</v>
      </c>
      <c r="M113" t="b">
        <v>1</v>
      </c>
    </row>
    <row r="114" spans="1:13">
      <c r="A114" s="1" t="s">
        <v>200</v>
      </c>
      <c r="B114" s="1" t="s">
        <v>40</v>
      </c>
      <c r="C114" s="1" t="str">
        <f t="shared" si="18"/>
        <v>C604B@ganeshmeridian.live</v>
      </c>
      <c r="D114" s="1">
        <v>9856471375</v>
      </c>
      <c r="E114" s="1" t="str">
        <f t="shared" si="19"/>
        <v>www.C604B.com</v>
      </c>
      <c r="F114" s="1" t="str">
        <f t="shared" si="20"/>
        <v>C604B_logo.png</v>
      </c>
      <c r="G114" s="1" t="str">
        <f t="shared" si="21"/>
        <v>C604B_icon.png</v>
      </c>
      <c r="H114" s="1" t="str">
        <f t="shared" si="22"/>
        <v>C604B_profilepicture.png</v>
      </c>
      <c r="I114" s="1" t="str">
        <f t="shared" si="23"/>
        <v>This is unit number C604B</v>
      </c>
      <c r="J114" s="9">
        <v>41365</v>
      </c>
      <c r="K114" s="9">
        <v>45017</v>
      </c>
      <c r="M114" t="b">
        <v>1</v>
      </c>
    </row>
    <row r="115" spans="1:13">
      <c r="A115" s="1" t="s">
        <v>190</v>
      </c>
      <c r="B115" s="1" t="s">
        <v>199</v>
      </c>
      <c r="C115" s="1" t="str">
        <f t="shared" si="18"/>
        <v>C606B@ganeshmeridian.live</v>
      </c>
      <c r="D115" s="1">
        <v>9856471380</v>
      </c>
      <c r="E115" s="1" t="str">
        <f t="shared" si="19"/>
        <v>www.C606B.com</v>
      </c>
      <c r="F115" s="1" t="str">
        <f t="shared" si="20"/>
        <v>C606B_logo.png</v>
      </c>
      <c r="G115" s="1" t="str">
        <f t="shared" si="21"/>
        <v>C606B_icon.png</v>
      </c>
      <c r="H115" s="1" t="str">
        <f t="shared" si="22"/>
        <v>C606B_profilepicture.png</v>
      </c>
      <c r="I115" s="1" t="str">
        <f t="shared" si="23"/>
        <v>This is unit number C606B</v>
      </c>
      <c r="J115" s="9">
        <v>41365</v>
      </c>
      <c r="K115" s="9">
        <v>45017</v>
      </c>
      <c r="M115" t="b">
        <v>1</v>
      </c>
    </row>
    <row r="116" spans="1:13">
      <c r="A116" s="1" t="s">
        <v>188</v>
      </c>
      <c r="B116" s="1" t="s">
        <v>225</v>
      </c>
      <c r="C116" s="1" t="str">
        <f t="shared" si="18"/>
        <v>C607A@ganeshmeridian.live</v>
      </c>
      <c r="D116" s="1">
        <v>9856471381</v>
      </c>
      <c r="E116" s="1" t="str">
        <f t="shared" si="19"/>
        <v>www.C607A.com</v>
      </c>
      <c r="F116" s="1" t="str">
        <f t="shared" si="20"/>
        <v>C607A_logo.png</v>
      </c>
      <c r="G116" s="1" t="str">
        <f t="shared" si="21"/>
        <v>C607A_icon.png</v>
      </c>
      <c r="H116" s="1" t="str">
        <f t="shared" si="22"/>
        <v>C607A_profilepicture.png</v>
      </c>
      <c r="I116" s="1" t="str">
        <f t="shared" si="23"/>
        <v>This is unit number C607A</v>
      </c>
      <c r="J116" s="9">
        <v>41365</v>
      </c>
      <c r="K116" s="9">
        <v>45017</v>
      </c>
      <c r="M116" t="b">
        <v>1</v>
      </c>
    </row>
    <row r="117" spans="1:13">
      <c r="A117" s="1" t="s">
        <v>184</v>
      </c>
      <c r="B117" s="1" t="s">
        <v>374</v>
      </c>
      <c r="C117" s="1" t="str">
        <f t="shared" si="18"/>
        <v>C608B@ganeshmeridian.live</v>
      </c>
      <c r="D117" s="1">
        <v>9856471383</v>
      </c>
      <c r="E117" s="1" t="str">
        <f t="shared" si="19"/>
        <v>www.C608B.com</v>
      </c>
      <c r="F117" s="1" t="str">
        <f t="shared" si="20"/>
        <v>C608B_logo.png</v>
      </c>
      <c r="G117" s="1" t="str">
        <f t="shared" si="21"/>
        <v>C608B_icon.png</v>
      </c>
      <c r="H117" s="1" t="str">
        <f t="shared" si="22"/>
        <v>C608B_profilepicture.png</v>
      </c>
      <c r="I117" s="1" t="str">
        <f t="shared" si="23"/>
        <v>This is unit number C608B</v>
      </c>
      <c r="J117" s="9">
        <v>41365</v>
      </c>
      <c r="K117" s="9">
        <v>45017</v>
      </c>
      <c r="M117" t="b">
        <v>1</v>
      </c>
    </row>
    <row r="118" spans="1:13">
      <c r="A118" s="1" t="s">
        <v>180</v>
      </c>
      <c r="B118" s="1" t="s">
        <v>398</v>
      </c>
      <c r="C118" s="1" t="str">
        <f t="shared" si="18"/>
        <v>C609B@ganeshmeridian.live</v>
      </c>
      <c r="D118" s="1">
        <v>9856471385</v>
      </c>
      <c r="E118" s="1" t="str">
        <f t="shared" si="19"/>
        <v>www.C609B.com</v>
      </c>
      <c r="F118" s="1" t="str">
        <f t="shared" si="20"/>
        <v>C609B_logo.png</v>
      </c>
      <c r="G118" s="1" t="str">
        <f t="shared" si="21"/>
        <v>C609B_icon.png</v>
      </c>
      <c r="H118" s="1" t="str">
        <f t="shared" si="22"/>
        <v>C609B_profilepicture.png</v>
      </c>
      <c r="I118" s="1" t="str">
        <f t="shared" si="23"/>
        <v>This is unit number C609B</v>
      </c>
      <c r="J118" s="9">
        <v>41365</v>
      </c>
      <c r="K118" s="9">
        <v>45017</v>
      </c>
      <c r="M118" t="b">
        <v>1</v>
      </c>
    </row>
    <row r="119" spans="1:13">
      <c r="A119" s="1" t="s">
        <v>170</v>
      </c>
      <c r="B119" s="1" t="s">
        <v>215</v>
      </c>
      <c r="C119" s="1" t="str">
        <f t="shared" si="18"/>
        <v>C704A@ganeshmeridian.live</v>
      </c>
      <c r="D119" s="1">
        <v>9856471390</v>
      </c>
      <c r="E119" s="1" t="str">
        <f t="shared" si="19"/>
        <v>www.C704A.com</v>
      </c>
      <c r="F119" s="1" t="str">
        <f t="shared" si="20"/>
        <v>C704A_logo.png</v>
      </c>
      <c r="G119" s="1" t="str">
        <f t="shared" si="21"/>
        <v>C704A_icon.png</v>
      </c>
      <c r="H119" s="1" t="str">
        <f t="shared" si="22"/>
        <v>C704A_profilepicture.png</v>
      </c>
      <c r="I119" s="1" t="str">
        <f t="shared" si="23"/>
        <v>This is unit number C704A</v>
      </c>
      <c r="J119" s="9">
        <v>41365</v>
      </c>
      <c r="K119" s="9">
        <v>45017</v>
      </c>
      <c r="M119" t="b">
        <v>1</v>
      </c>
    </row>
    <row r="120" spans="1:13">
      <c r="A120" s="1" t="s">
        <v>168</v>
      </c>
      <c r="B120" s="1" t="s">
        <v>36</v>
      </c>
      <c r="C120" s="1" t="str">
        <f t="shared" si="18"/>
        <v>C704B@ganeshmeridian.live</v>
      </c>
      <c r="D120" s="1">
        <v>9856471391</v>
      </c>
      <c r="E120" s="1" t="str">
        <f t="shared" si="19"/>
        <v>www.C704B.com</v>
      </c>
      <c r="F120" s="1" t="str">
        <f t="shared" si="20"/>
        <v>C704B_logo.png</v>
      </c>
      <c r="G120" s="1" t="str">
        <f t="shared" si="21"/>
        <v>C704B_icon.png</v>
      </c>
      <c r="H120" s="1" t="str">
        <f t="shared" si="22"/>
        <v>C704B_profilepicture.png</v>
      </c>
      <c r="I120" s="1" t="str">
        <f t="shared" si="23"/>
        <v>This is unit number C704B</v>
      </c>
      <c r="J120" s="9">
        <v>41365</v>
      </c>
      <c r="K120" s="9">
        <v>45017</v>
      </c>
      <c r="M120" t="b">
        <v>1</v>
      </c>
    </row>
    <row r="121" spans="1:13">
      <c r="A121" s="1" t="s">
        <v>166</v>
      </c>
      <c r="B121" s="1" t="s">
        <v>376</v>
      </c>
      <c r="C121" s="1" t="str">
        <f t="shared" si="18"/>
        <v>C705A@ganeshmeridian.live</v>
      </c>
      <c r="D121" s="1">
        <v>9856471392</v>
      </c>
      <c r="E121" s="1" t="str">
        <f t="shared" si="19"/>
        <v>www.C705A.com</v>
      </c>
      <c r="F121" s="1" t="str">
        <f t="shared" si="20"/>
        <v>C705A_logo.png</v>
      </c>
      <c r="G121" s="1" t="str">
        <f t="shared" si="21"/>
        <v>C705A_icon.png</v>
      </c>
      <c r="H121" s="1" t="str">
        <f t="shared" si="22"/>
        <v>C705A_profilepicture.png</v>
      </c>
      <c r="I121" s="1" t="str">
        <f t="shared" si="23"/>
        <v>This is unit number C705A</v>
      </c>
      <c r="J121" s="9">
        <v>41365</v>
      </c>
      <c r="K121" s="9">
        <v>45017</v>
      </c>
      <c r="M121" t="b">
        <v>1</v>
      </c>
    </row>
    <row r="122" spans="1:13">
      <c r="A122" s="1" t="s">
        <v>161</v>
      </c>
      <c r="B122" s="1" t="s">
        <v>265</v>
      </c>
      <c r="C122" s="1" t="str">
        <f t="shared" si="18"/>
        <v>C707@ganeshmeridian.live</v>
      </c>
      <c r="D122" s="1">
        <v>9856471395</v>
      </c>
      <c r="E122" s="1" t="str">
        <f t="shared" si="19"/>
        <v>www.C707.com</v>
      </c>
      <c r="F122" s="1" t="str">
        <f t="shared" si="20"/>
        <v>C707_logo.png</v>
      </c>
      <c r="G122" s="1" t="str">
        <f t="shared" si="21"/>
        <v>C707_icon.png</v>
      </c>
      <c r="H122" s="1" t="str">
        <f t="shared" si="22"/>
        <v>C707_profilepicture.png</v>
      </c>
      <c r="I122" s="1" t="str">
        <f t="shared" si="23"/>
        <v>This is unit number C707</v>
      </c>
      <c r="J122" s="9">
        <v>41365</v>
      </c>
      <c r="K122" s="9">
        <v>45017</v>
      </c>
      <c r="M122" t="b">
        <v>1</v>
      </c>
    </row>
    <row r="123" spans="1:13">
      <c r="A123" s="1" t="s">
        <v>159</v>
      </c>
      <c r="B123" s="1" t="s">
        <v>368</v>
      </c>
      <c r="C123" s="1" t="str">
        <f t="shared" si="18"/>
        <v>C708@ganeshmeridian.live</v>
      </c>
      <c r="D123" s="1">
        <v>9856471396</v>
      </c>
      <c r="E123" s="1" t="str">
        <f t="shared" si="19"/>
        <v>www.C708.com</v>
      </c>
      <c r="F123" s="1" t="str">
        <f t="shared" si="20"/>
        <v>C708_logo.png</v>
      </c>
      <c r="G123" s="1" t="str">
        <f t="shared" si="21"/>
        <v>C708_icon.png</v>
      </c>
      <c r="H123" s="1" t="str">
        <f t="shared" si="22"/>
        <v>C708_profilepicture.png</v>
      </c>
      <c r="I123" s="1" t="str">
        <f t="shared" si="23"/>
        <v>This is unit number C708</v>
      </c>
      <c r="J123" s="9">
        <v>41365</v>
      </c>
      <c r="K123" s="9">
        <v>45017</v>
      </c>
      <c r="M123" t="b">
        <v>1</v>
      </c>
    </row>
    <row r="124" spans="1:13">
      <c r="A124" s="1" t="s">
        <v>153</v>
      </c>
      <c r="B124" s="1" t="s">
        <v>248</v>
      </c>
      <c r="C124" s="1" t="str">
        <f t="shared" si="18"/>
        <v>C802@ganeshmeridian.live</v>
      </c>
      <c r="D124" s="1">
        <v>9856471399</v>
      </c>
      <c r="E124" s="1" t="str">
        <f t="shared" si="19"/>
        <v>www.C802.com</v>
      </c>
      <c r="F124" s="1" t="str">
        <f t="shared" si="20"/>
        <v>C802_logo.png</v>
      </c>
      <c r="G124" s="1" t="str">
        <f t="shared" si="21"/>
        <v>C802_icon.png</v>
      </c>
      <c r="H124" s="1" t="str">
        <f t="shared" si="22"/>
        <v>C802_profilepicture.png</v>
      </c>
      <c r="I124" s="1" t="str">
        <f t="shared" si="23"/>
        <v>This is unit number C802</v>
      </c>
      <c r="J124" s="9">
        <v>41365</v>
      </c>
      <c r="K124" s="9">
        <v>45017</v>
      </c>
      <c r="M124" t="b">
        <v>1</v>
      </c>
    </row>
    <row r="125" spans="1:13">
      <c r="A125" s="1" t="s">
        <v>151</v>
      </c>
      <c r="B125" s="1" t="s">
        <v>229</v>
      </c>
      <c r="C125" s="1" t="str">
        <f t="shared" si="18"/>
        <v>C803A@ganeshmeridian.live</v>
      </c>
      <c r="D125" s="1">
        <v>9856471400</v>
      </c>
      <c r="E125" s="1" t="str">
        <f t="shared" si="19"/>
        <v>www.C803A.com</v>
      </c>
      <c r="F125" s="1" t="str">
        <f t="shared" si="20"/>
        <v>C803A_logo.png</v>
      </c>
      <c r="G125" s="1" t="str">
        <f t="shared" si="21"/>
        <v>C803A_icon.png</v>
      </c>
      <c r="H125" s="1" t="str">
        <f t="shared" si="22"/>
        <v>C803A_profilepicture.png</v>
      </c>
      <c r="I125" s="1" t="str">
        <f t="shared" si="23"/>
        <v>This is unit number C803A</v>
      </c>
      <c r="J125" s="9">
        <v>41365</v>
      </c>
      <c r="K125" s="9">
        <v>45017</v>
      </c>
      <c r="M125" t="b">
        <v>1</v>
      </c>
    </row>
    <row r="126" spans="1:13">
      <c r="A126" s="1" t="s">
        <v>149</v>
      </c>
      <c r="B126" s="1" t="s">
        <v>430</v>
      </c>
      <c r="C126" s="1" t="str">
        <f t="shared" si="18"/>
        <v>C803B@ganeshmeridian.live</v>
      </c>
      <c r="D126" s="1">
        <v>9856471401</v>
      </c>
      <c r="E126" s="1" t="str">
        <f t="shared" si="19"/>
        <v>www.C803B.com</v>
      </c>
      <c r="F126" s="1" t="str">
        <f t="shared" si="20"/>
        <v>C803B_logo.png</v>
      </c>
      <c r="G126" s="1" t="str">
        <f t="shared" si="21"/>
        <v>C803B_icon.png</v>
      </c>
      <c r="H126" s="1" t="str">
        <f t="shared" si="22"/>
        <v>C803B_profilepicture.png</v>
      </c>
      <c r="I126" s="1" t="str">
        <f t="shared" si="23"/>
        <v>This is unit number C803B</v>
      </c>
      <c r="J126" s="9">
        <v>41365</v>
      </c>
      <c r="K126" s="9">
        <v>45017</v>
      </c>
      <c r="M126" t="b">
        <v>1</v>
      </c>
    </row>
    <row r="127" spans="1:13">
      <c r="A127" s="1" t="s">
        <v>147</v>
      </c>
      <c r="B127" s="1" t="s">
        <v>257</v>
      </c>
      <c r="C127" s="1" t="str">
        <f t="shared" si="18"/>
        <v>C804A@ganeshmeridian.live</v>
      </c>
      <c r="D127" s="1">
        <v>9856471402</v>
      </c>
      <c r="E127" s="1" t="str">
        <f t="shared" si="19"/>
        <v>www.C804A.com</v>
      </c>
      <c r="F127" s="1" t="str">
        <f t="shared" si="20"/>
        <v>C804A_logo.png</v>
      </c>
      <c r="G127" s="1" t="str">
        <f t="shared" si="21"/>
        <v>C804A_icon.png</v>
      </c>
      <c r="H127" s="1" t="str">
        <f t="shared" si="22"/>
        <v>C804A_profilepicture.png</v>
      </c>
      <c r="I127" s="1" t="str">
        <f t="shared" si="23"/>
        <v>This is unit number C804A</v>
      </c>
      <c r="J127" s="9">
        <v>41365</v>
      </c>
      <c r="K127" s="9">
        <v>45017</v>
      </c>
      <c r="M127" t="b">
        <v>1</v>
      </c>
    </row>
    <row r="128" spans="1:13">
      <c r="A128" s="1" t="s">
        <v>143</v>
      </c>
      <c r="B128" s="1" t="s">
        <v>338</v>
      </c>
      <c r="C128" s="1" t="str">
        <f t="shared" si="18"/>
        <v>C805A@ganeshmeridian.live</v>
      </c>
      <c r="D128" s="1">
        <v>9856471404</v>
      </c>
      <c r="E128" s="1" t="str">
        <f t="shared" si="19"/>
        <v>www.C805A.com</v>
      </c>
      <c r="F128" s="1" t="str">
        <f t="shared" si="20"/>
        <v>C805A_logo.png</v>
      </c>
      <c r="G128" s="1" t="str">
        <f t="shared" si="21"/>
        <v>C805A_icon.png</v>
      </c>
      <c r="H128" s="1" t="str">
        <f t="shared" si="22"/>
        <v>C805A_profilepicture.png</v>
      </c>
      <c r="I128" s="1" t="str">
        <f t="shared" si="23"/>
        <v>This is unit number C805A</v>
      </c>
      <c r="J128" s="9">
        <v>41365</v>
      </c>
      <c r="K128" s="9">
        <v>45017</v>
      </c>
      <c r="M128" t="b">
        <v>1</v>
      </c>
    </row>
    <row r="129" spans="1:13">
      <c r="A129" s="1" t="s">
        <v>132</v>
      </c>
      <c r="B129" s="1" t="s">
        <v>329</v>
      </c>
      <c r="C129" s="1" t="str">
        <f t="shared" si="18"/>
        <v>C903A@ganeshmeridian.live</v>
      </c>
      <c r="D129" s="1">
        <v>9856471412</v>
      </c>
      <c r="E129" s="1" t="str">
        <f t="shared" si="19"/>
        <v>www.C903A.com</v>
      </c>
      <c r="F129" s="1" t="str">
        <f t="shared" si="20"/>
        <v>C903A_logo.png</v>
      </c>
      <c r="G129" s="1" t="str">
        <f t="shared" si="21"/>
        <v>C903A_icon.png</v>
      </c>
      <c r="H129" s="1" t="str">
        <f t="shared" si="22"/>
        <v>C903A_profilepicture.png</v>
      </c>
      <c r="I129" s="1" t="str">
        <f t="shared" si="23"/>
        <v>This is unit number C903A</v>
      </c>
      <c r="J129" s="9">
        <v>41365</v>
      </c>
      <c r="K129" s="9">
        <v>45017</v>
      </c>
      <c r="M129" t="b">
        <v>1</v>
      </c>
    </row>
    <row r="130" spans="1:13">
      <c r="A130" s="1" t="s">
        <v>128</v>
      </c>
      <c r="B130" s="1" t="s">
        <v>289</v>
      </c>
      <c r="C130" s="1" t="str">
        <f t="shared" ref="C130:C161" si="24">A130&amp;"@ganeshmeridian.live"</f>
        <v>C904@ganeshmeridian.live</v>
      </c>
      <c r="D130" s="1">
        <v>9856471414</v>
      </c>
      <c r="E130" s="1" t="str">
        <f t="shared" ref="E130:E161" si="25">"www." &amp;A130 &amp; ".com"</f>
        <v>www.C904.com</v>
      </c>
      <c r="F130" s="1" t="str">
        <f t="shared" ref="F130:F161" si="26">A130&amp;"_logo.png"</f>
        <v>C904_logo.png</v>
      </c>
      <c r="G130" s="1" t="str">
        <f t="shared" ref="G130:G161" si="27">A130&amp;"_icon.png"</f>
        <v>C904_icon.png</v>
      </c>
      <c r="H130" s="1" t="str">
        <f t="shared" ref="H130:H161" si="28">A130&amp;"_profilepicture.png"</f>
        <v>C904_profilepicture.png</v>
      </c>
      <c r="I130" s="1" t="str">
        <f t="shared" ref="I130:I161" si="29">"This is unit number " &amp; A130</f>
        <v>This is unit number C904</v>
      </c>
      <c r="J130" s="9">
        <v>41365</v>
      </c>
      <c r="K130" s="9">
        <v>45017</v>
      </c>
      <c r="M130" t="b">
        <v>1</v>
      </c>
    </row>
    <row r="131" spans="1:13">
      <c r="A131" s="1" t="s">
        <v>120</v>
      </c>
      <c r="B131" s="1" t="s">
        <v>254</v>
      </c>
      <c r="C131" s="1" t="str">
        <f t="shared" si="24"/>
        <v>C907@ganeshmeridian.live</v>
      </c>
      <c r="D131" s="1">
        <v>9856471418</v>
      </c>
      <c r="E131" s="1" t="str">
        <f t="shared" si="25"/>
        <v>www.C907.com</v>
      </c>
      <c r="F131" s="1" t="str">
        <f t="shared" si="26"/>
        <v>C907_logo.png</v>
      </c>
      <c r="G131" s="1" t="str">
        <f t="shared" si="27"/>
        <v>C907_icon.png</v>
      </c>
      <c r="H131" s="1" t="str">
        <f t="shared" si="28"/>
        <v>C907_profilepicture.png</v>
      </c>
      <c r="I131" s="1" t="str">
        <f t="shared" si="29"/>
        <v>This is unit number C907</v>
      </c>
      <c r="J131" s="9">
        <v>41365</v>
      </c>
      <c r="K131" s="9">
        <v>45017</v>
      </c>
      <c r="M131" t="b">
        <v>1</v>
      </c>
    </row>
    <row r="132" spans="1:13">
      <c r="A132" s="1" t="s">
        <v>118</v>
      </c>
      <c r="B132" s="1" t="s">
        <v>404</v>
      </c>
      <c r="C132" s="1" t="str">
        <f t="shared" si="24"/>
        <v>C908@ganeshmeridian.live</v>
      </c>
      <c r="D132" s="1">
        <v>9856471419</v>
      </c>
      <c r="E132" s="1" t="str">
        <f t="shared" si="25"/>
        <v>www.C908.com</v>
      </c>
      <c r="F132" s="1" t="str">
        <f t="shared" si="26"/>
        <v>C908_logo.png</v>
      </c>
      <c r="G132" s="1" t="str">
        <f t="shared" si="27"/>
        <v>C908_icon.png</v>
      </c>
      <c r="H132" s="1" t="str">
        <f t="shared" si="28"/>
        <v>C908_profilepicture.png</v>
      </c>
      <c r="I132" s="1" t="str">
        <f t="shared" si="29"/>
        <v>This is unit number C908</v>
      </c>
      <c r="J132" s="9">
        <v>41365</v>
      </c>
      <c r="K132" s="9">
        <v>45017</v>
      </c>
      <c r="M132" t="b">
        <v>1</v>
      </c>
    </row>
    <row r="133" spans="1:13">
      <c r="A133" s="1" t="s">
        <v>116</v>
      </c>
      <c r="B133" s="1" t="s">
        <v>307</v>
      </c>
      <c r="C133" s="1" t="str">
        <f t="shared" si="24"/>
        <v>C909@ganeshmeridian.live</v>
      </c>
      <c r="D133" s="1">
        <v>9856471420</v>
      </c>
      <c r="E133" s="1" t="str">
        <f t="shared" si="25"/>
        <v>www.C909.com</v>
      </c>
      <c r="F133" s="1" t="str">
        <f t="shared" si="26"/>
        <v>C909_logo.png</v>
      </c>
      <c r="G133" s="1" t="str">
        <f t="shared" si="27"/>
        <v>C909_icon.png</v>
      </c>
      <c r="H133" s="1" t="str">
        <f t="shared" si="28"/>
        <v>C909_profilepicture.png</v>
      </c>
      <c r="I133" s="1" t="str">
        <f t="shared" si="29"/>
        <v>This is unit number C909</v>
      </c>
      <c r="J133" s="9">
        <v>41365</v>
      </c>
      <c r="K133" s="9">
        <v>45017</v>
      </c>
      <c r="M133" t="b">
        <v>1</v>
      </c>
    </row>
    <row r="134" spans="1:13">
      <c r="A134" s="1" t="s">
        <v>114</v>
      </c>
      <c r="B134" s="1" t="s">
        <v>183</v>
      </c>
      <c r="C134" s="1" t="str">
        <f t="shared" si="24"/>
        <v>C1001@ganeshmeridian.live</v>
      </c>
      <c r="D134" s="1">
        <v>9856471421</v>
      </c>
      <c r="E134" s="1" t="str">
        <f t="shared" si="25"/>
        <v>www.C1001.com</v>
      </c>
      <c r="F134" s="1" t="str">
        <f t="shared" si="26"/>
        <v>C1001_logo.png</v>
      </c>
      <c r="G134" s="1" t="str">
        <f t="shared" si="27"/>
        <v>C1001_icon.png</v>
      </c>
      <c r="H134" s="1" t="str">
        <f t="shared" si="28"/>
        <v>C1001_profilepicture.png</v>
      </c>
      <c r="I134" s="1" t="str">
        <f t="shared" si="29"/>
        <v>This is unit number C1001</v>
      </c>
      <c r="J134" s="9">
        <v>41365</v>
      </c>
      <c r="K134" s="9">
        <v>45017</v>
      </c>
      <c r="M134" t="b">
        <v>1</v>
      </c>
    </row>
    <row r="135" spans="1:13">
      <c r="A135" s="1" t="s">
        <v>112</v>
      </c>
      <c r="B135" s="1" t="s">
        <v>163</v>
      </c>
      <c r="C135" s="1" t="str">
        <f t="shared" si="24"/>
        <v>C1002@ganeshmeridian.live</v>
      </c>
      <c r="D135" s="1">
        <v>9856471422</v>
      </c>
      <c r="E135" s="1" t="str">
        <f t="shared" si="25"/>
        <v>www.C1002.com</v>
      </c>
      <c r="F135" s="1" t="str">
        <f t="shared" si="26"/>
        <v>C1002_logo.png</v>
      </c>
      <c r="G135" s="1" t="str">
        <f t="shared" si="27"/>
        <v>C1002_icon.png</v>
      </c>
      <c r="H135" s="1" t="str">
        <f t="shared" si="28"/>
        <v>C1002_profilepicture.png</v>
      </c>
      <c r="I135" s="1" t="str">
        <f t="shared" si="29"/>
        <v>This is unit number C1002</v>
      </c>
      <c r="J135" s="9">
        <v>41365</v>
      </c>
      <c r="K135" s="9">
        <v>45017</v>
      </c>
      <c r="M135" t="b">
        <v>1</v>
      </c>
    </row>
    <row r="136" spans="1:13">
      <c r="A136" s="1" t="s">
        <v>108</v>
      </c>
      <c r="B136" s="1" t="s">
        <v>261</v>
      </c>
      <c r="C136" s="1" t="str">
        <f t="shared" si="24"/>
        <v>C1005A@ganeshmeridian.live</v>
      </c>
      <c r="D136" s="1">
        <v>9856471426</v>
      </c>
      <c r="E136" s="1" t="str">
        <f t="shared" si="25"/>
        <v>www.C1005A.com</v>
      </c>
      <c r="F136" s="1" t="str">
        <f t="shared" si="26"/>
        <v>C1005A_logo.png</v>
      </c>
      <c r="G136" s="1" t="str">
        <f t="shared" si="27"/>
        <v>C1005A_icon.png</v>
      </c>
      <c r="H136" s="1" t="str">
        <f t="shared" si="28"/>
        <v>C1005A_profilepicture.png</v>
      </c>
      <c r="I136" s="1" t="str">
        <f t="shared" si="29"/>
        <v>This is unit number C1005A</v>
      </c>
      <c r="J136" s="9">
        <v>41365</v>
      </c>
      <c r="K136" s="9">
        <v>45017</v>
      </c>
      <c r="M136" t="b">
        <v>1</v>
      </c>
    </row>
    <row r="137" spans="1:13">
      <c r="A137" s="1" t="s">
        <v>106</v>
      </c>
      <c r="B137" s="1" t="s">
        <v>287</v>
      </c>
      <c r="C137" s="1" t="str">
        <f t="shared" si="24"/>
        <v>C1006@ganeshmeridian.live</v>
      </c>
      <c r="D137" s="1">
        <v>9856471428</v>
      </c>
      <c r="E137" s="1" t="str">
        <f t="shared" si="25"/>
        <v>www.C1006.com</v>
      </c>
      <c r="F137" s="1" t="str">
        <f t="shared" si="26"/>
        <v>C1006_logo.png</v>
      </c>
      <c r="G137" s="1" t="str">
        <f t="shared" si="27"/>
        <v>C1006_icon.png</v>
      </c>
      <c r="H137" s="1" t="str">
        <f t="shared" si="28"/>
        <v>C1006_profilepicture.png</v>
      </c>
      <c r="I137" s="1" t="str">
        <f t="shared" si="29"/>
        <v>This is unit number C1006</v>
      </c>
      <c r="J137" s="9">
        <v>41365</v>
      </c>
      <c r="K137" s="9">
        <v>45017</v>
      </c>
      <c r="M137" t="b">
        <v>1</v>
      </c>
    </row>
    <row r="138" spans="1:13">
      <c r="A138" s="1" t="s">
        <v>105</v>
      </c>
      <c r="B138" s="1" t="s">
        <v>460</v>
      </c>
      <c r="C138" s="1" t="str">
        <f t="shared" si="24"/>
        <v>C1007@ganeshmeridian.live</v>
      </c>
      <c r="D138" s="1">
        <v>9856471429</v>
      </c>
      <c r="E138" s="1" t="str">
        <f t="shared" si="25"/>
        <v>www.C1007.com</v>
      </c>
      <c r="F138" s="1" t="str">
        <f t="shared" si="26"/>
        <v>C1007_logo.png</v>
      </c>
      <c r="G138" s="1" t="str">
        <f t="shared" si="27"/>
        <v>C1007_icon.png</v>
      </c>
      <c r="H138" s="1" t="str">
        <f t="shared" si="28"/>
        <v>C1007_profilepicture.png</v>
      </c>
      <c r="I138" s="1" t="str">
        <f t="shared" si="29"/>
        <v>This is unit number C1007</v>
      </c>
      <c r="J138" s="9">
        <v>41365</v>
      </c>
      <c r="K138" s="9">
        <v>45017</v>
      </c>
      <c r="M138" t="b">
        <v>1</v>
      </c>
    </row>
    <row r="139" spans="1:13">
      <c r="A139" s="1" t="s">
        <v>103</v>
      </c>
      <c r="B139" s="1" t="s">
        <v>219</v>
      </c>
      <c r="C139" s="1" t="str">
        <f t="shared" si="24"/>
        <v>C1009@ganeshmeridian.live</v>
      </c>
      <c r="D139" s="1">
        <v>9856471431</v>
      </c>
      <c r="E139" s="1" t="str">
        <f t="shared" si="25"/>
        <v>www.C1009.com</v>
      </c>
      <c r="F139" s="1" t="str">
        <f t="shared" si="26"/>
        <v>C1009_logo.png</v>
      </c>
      <c r="G139" s="1" t="str">
        <f t="shared" si="27"/>
        <v>C1009_icon.png</v>
      </c>
      <c r="H139" s="1" t="str">
        <f t="shared" si="28"/>
        <v>C1009_profilepicture.png</v>
      </c>
      <c r="I139" s="1" t="str">
        <f t="shared" si="29"/>
        <v>This is unit number C1009</v>
      </c>
      <c r="J139" s="9">
        <v>41365</v>
      </c>
      <c r="K139" s="9">
        <v>45017</v>
      </c>
      <c r="M139" t="b">
        <v>1</v>
      </c>
    </row>
    <row r="140" spans="1:13">
      <c r="A140" s="1" t="s">
        <v>102</v>
      </c>
      <c r="B140" s="1" t="s">
        <v>402</v>
      </c>
      <c r="C140" s="1" t="str">
        <f t="shared" si="24"/>
        <v>DGF1@ganeshmeridian.live</v>
      </c>
      <c r="D140" s="1">
        <v>9856471432</v>
      </c>
      <c r="E140" s="1" t="str">
        <f t="shared" si="25"/>
        <v>www.DGF1.com</v>
      </c>
      <c r="F140" s="1" t="str">
        <f t="shared" si="26"/>
        <v>DGF1_logo.png</v>
      </c>
      <c r="G140" s="1" t="str">
        <f t="shared" si="27"/>
        <v>DGF1_icon.png</v>
      </c>
      <c r="H140" s="1" t="str">
        <f t="shared" si="28"/>
        <v>DGF1_profilepicture.png</v>
      </c>
      <c r="I140" s="1" t="str">
        <f t="shared" si="29"/>
        <v>This is unit number DGF1</v>
      </c>
      <c r="J140" s="9">
        <v>41365</v>
      </c>
      <c r="K140" s="9">
        <v>45017</v>
      </c>
      <c r="M140" t="b">
        <v>1</v>
      </c>
    </row>
    <row r="141" spans="1:13">
      <c r="A141" s="1" t="s">
        <v>100</v>
      </c>
      <c r="B141" s="1" t="s">
        <v>362</v>
      </c>
      <c r="C141" s="1" t="str">
        <f t="shared" si="24"/>
        <v>D2B@ganeshmeridian.live</v>
      </c>
      <c r="D141" s="1">
        <v>9856471434</v>
      </c>
      <c r="E141" s="1" t="str">
        <f t="shared" si="25"/>
        <v>www.D2B.com</v>
      </c>
      <c r="F141" s="1" t="str">
        <f t="shared" si="26"/>
        <v>D2B_logo.png</v>
      </c>
      <c r="G141" s="1" t="str">
        <f t="shared" si="27"/>
        <v>D2B_icon.png</v>
      </c>
      <c r="H141" s="1" t="str">
        <f t="shared" si="28"/>
        <v>D2B_profilepicture.png</v>
      </c>
      <c r="I141" s="1" t="str">
        <f t="shared" si="29"/>
        <v>This is unit number D2B</v>
      </c>
      <c r="J141" s="9">
        <v>41365</v>
      </c>
      <c r="K141" s="9">
        <v>45017</v>
      </c>
      <c r="M141" t="b">
        <v>1</v>
      </c>
    </row>
    <row r="142" spans="1:13">
      <c r="A142" s="1" t="s">
        <v>98</v>
      </c>
      <c r="B142" s="1" t="s">
        <v>301</v>
      </c>
      <c r="C142" s="1" t="str">
        <f t="shared" si="24"/>
        <v>D2D@ganeshmeridian.live</v>
      </c>
      <c r="D142" s="1">
        <v>9856471436</v>
      </c>
      <c r="E142" s="1" t="str">
        <f t="shared" si="25"/>
        <v>www.D2D.com</v>
      </c>
      <c r="F142" s="1" t="str">
        <f t="shared" si="26"/>
        <v>D2D_logo.png</v>
      </c>
      <c r="G142" s="1" t="str">
        <f t="shared" si="27"/>
        <v>D2D_icon.png</v>
      </c>
      <c r="H142" s="1" t="str">
        <f t="shared" si="28"/>
        <v>D2D_profilepicture.png</v>
      </c>
      <c r="I142" s="1" t="str">
        <f t="shared" si="29"/>
        <v>This is unit number D2D</v>
      </c>
      <c r="J142" s="9">
        <v>41365</v>
      </c>
      <c r="K142" s="9">
        <v>45017</v>
      </c>
      <c r="M142" t="b">
        <v>1</v>
      </c>
    </row>
    <row r="143" spans="1:13">
      <c r="A143" s="1" t="s">
        <v>97</v>
      </c>
      <c r="B143" s="1" t="s">
        <v>442</v>
      </c>
      <c r="C143" s="1" t="str">
        <f t="shared" si="24"/>
        <v>D2E@ganeshmeridian.live</v>
      </c>
      <c r="D143" s="1">
        <v>9856471437</v>
      </c>
      <c r="E143" s="1" t="str">
        <f t="shared" si="25"/>
        <v>www.D2E.com</v>
      </c>
      <c r="F143" s="1" t="str">
        <f t="shared" si="26"/>
        <v>D2E_logo.png</v>
      </c>
      <c r="G143" s="1" t="str">
        <f t="shared" si="27"/>
        <v>D2E_icon.png</v>
      </c>
      <c r="H143" s="1" t="str">
        <f t="shared" si="28"/>
        <v>D2E_profilepicture.png</v>
      </c>
      <c r="I143" s="1" t="str">
        <f t="shared" si="29"/>
        <v>This is unit number D2E</v>
      </c>
      <c r="J143" s="9">
        <v>41365</v>
      </c>
      <c r="K143" s="9">
        <v>45017</v>
      </c>
      <c r="M143" t="b">
        <v>1</v>
      </c>
    </row>
    <row r="144" spans="1:13">
      <c r="A144" s="1" t="s">
        <v>96</v>
      </c>
      <c r="B144" s="1" t="s">
        <v>275</v>
      </c>
      <c r="C144" s="1" t="str">
        <f t="shared" si="24"/>
        <v>D2F@ganeshmeridian.live</v>
      </c>
      <c r="D144" s="1">
        <v>9856471438</v>
      </c>
      <c r="E144" s="1" t="str">
        <f t="shared" si="25"/>
        <v>www.D2F.com</v>
      </c>
      <c r="F144" s="1" t="str">
        <f t="shared" si="26"/>
        <v>D2F_logo.png</v>
      </c>
      <c r="G144" s="1" t="str">
        <f t="shared" si="27"/>
        <v>D2F_icon.png</v>
      </c>
      <c r="H144" s="1" t="str">
        <f t="shared" si="28"/>
        <v>D2F_profilepicture.png</v>
      </c>
      <c r="I144" s="1" t="str">
        <f t="shared" si="29"/>
        <v>This is unit number D2F</v>
      </c>
      <c r="J144" s="9">
        <v>41365</v>
      </c>
      <c r="K144" s="9">
        <v>45017</v>
      </c>
      <c r="M144" t="b">
        <v>1</v>
      </c>
    </row>
    <row r="145" spans="1:13">
      <c r="A145" s="1" t="s">
        <v>92</v>
      </c>
      <c r="B145" s="1" t="s">
        <v>179</v>
      </c>
      <c r="C145" s="1" t="str">
        <f t="shared" si="24"/>
        <v>D102B@ganeshmeridian.live</v>
      </c>
      <c r="D145" s="1">
        <v>9856471442</v>
      </c>
      <c r="E145" s="1" t="str">
        <f t="shared" si="25"/>
        <v>www.D102B.com</v>
      </c>
      <c r="F145" s="1" t="str">
        <f t="shared" si="26"/>
        <v>D102B_logo.png</v>
      </c>
      <c r="G145" s="1" t="str">
        <f t="shared" si="27"/>
        <v>D102B_icon.png</v>
      </c>
      <c r="H145" s="1" t="str">
        <f t="shared" si="28"/>
        <v>D102B_profilepicture.png</v>
      </c>
      <c r="I145" s="1" t="str">
        <f t="shared" si="29"/>
        <v>This is unit number D102B</v>
      </c>
      <c r="J145" s="9">
        <v>41365</v>
      </c>
      <c r="K145" s="9">
        <v>45017</v>
      </c>
      <c r="M145" t="b">
        <v>1</v>
      </c>
    </row>
    <row r="146" spans="1:13">
      <c r="A146" s="1" t="s">
        <v>91</v>
      </c>
      <c r="B146" s="1" t="s">
        <v>169</v>
      </c>
      <c r="C146" s="1" t="str">
        <f t="shared" si="24"/>
        <v>D102C@ganeshmeridian.live</v>
      </c>
      <c r="D146" s="1">
        <v>9856471443</v>
      </c>
      <c r="E146" s="1" t="str">
        <f t="shared" si="25"/>
        <v>www.D102C.com</v>
      </c>
      <c r="F146" s="1" t="str">
        <f t="shared" si="26"/>
        <v>D102C_logo.png</v>
      </c>
      <c r="G146" s="1" t="str">
        <f t="shared" si="27"/>
        <v>D102C_icon.png</v>
      </c>
      <c r="H146" s="1" t="str">
        <f t="shared" si="28"/>
        <v>D102C_profilepicture.png</v>
      </c>
      <c r="I146" s="1" t="str">
        <f t="shared" si="29"/>
        <v>This is unit number D102C</v>
      </c>
      <c r="J146" s="9">
        <v>41365</v>
      </c>
      <c r="K146" s="9">
        <v>45017</v>
      </c>
      <c r="M146" t="b">
        <v>1</v>
      </c>
    </row>
    <row r="147" spans="1:13">
      <c r="A147" s="1" t="s">
        <v>89</v>
      </c>
      <c r="B147" s="1" t="s">
        <v>309</v>
      </c>
      <c r="C147" s="1" t="str">
        <f t="shared" si="24"/>
        <v>D102E@ganeshmeridian.live</v>
      </c>
      <c r="D147" s="1">
        <v>9856471445</v>
      </c>
      <c r="E147" s="1" t="str">
        <f t="shared" si="25"/>
        <v>www.D102E.com</v>
      </c>
      <c r="F147" s="1" t="str">
        <f t="shared" si="26"/>
        <v>D102E_logo.png</v>
      </c>
      <c r="G147" s="1" t="str">
        <f t="shared" si="27"/>
        <v>D102E_icon.png</v>
      </c>
      <c r="H147" s="1" t="str">
        <f t="shared" si="28"/>
        <v>D102E_profilepicture.png</v>
      </c>
      <c r="I147" s="1" t="str">
        <f t="shared" si="29"/>
        <v>This is unit number D102E</v>
      </c>
      <c r="J147" s="9">
        <v>41365</v>
      </c>
      <c r="K147" s="9">
        <v>45017</v>
      </c>
      <c r="M147" t="b">
        <v>1</v>
      </c>
    </row>
    <row r="148" spans="1:13">
      <c r="A148" s="1" t="s">
        <v>88</v>
      </c>
      <c r="B148" s="1" t="s">
        <v>432</v>
      </c>
      <c r="C148" s="1" t="str">
        <f t="shared" si="24"/>
        <v>D201@ganeshmeridian.live</v>
      </c>
      <c r="D148" s="1">
        <v>9856471446</v>
      </c>
      <c r="E148" s="1" t="str">
        <f t="shared" si="25"/>
        <v>www.D201.com</v>
      </c>
      <c r="F148" s="1" t="str">
        <f t="shared" si="26"/>
        <v>D201_logo.png</v>
      </c>
      <c r="G148" s="1" t="str">
        <f t="shared" si="27"/>
        <v>D201_icon.png</v>
      </c>
      <c r="H148" s="1" t="str">
        <f t="shared" si="28"/>
        <v>D201_profilepicture.png</v>
      </c>
      <c r="I148" s="1" t="str">
        <f t="shared" si="29"/>
        <v>This is unit number D201</v>
      </c>
      <c r="J148" s="9">
        <v>41365</v>
      </c>
      <c r="K148" s="9">
        <v>45017</v>
      </c>
      <c r="M148" t="b">
        <v>1</v>
      </c>
    </row>
    <row r="149" spans="1:13">
      <c r="A149" s="1" t="s">
        <v>87</v>
      </c>
      <c r="B149" s="1" t="s">
        <v>195</v>
      </c>
      <c r="C149" s="1" t="str">
        <f t="shared" si="24"/>
        <v>D202@ganeshmeridian.live</v>
      </c>
      <c r="D149" s="1">
        <v>9856471447</v>
      </c>
      <c r="E149" s="1" t="str">
        <f t="shared" si="25"/>
        <v>www.D202.com</v>
      </c>
      <c r="F149" s="1" t="str">
        <f t="shared" si="26"/>
        <v>D202_logo.png</v>
      </c>
      <c r="G149" s="1" t="str">
        <f t="shared" si="27"/>
        <v>D202_icon.png</v>
      </c>
      <c r="H149" s="1" t="str">
        <f t="shared" si="28"/>
        <v>D202_profilepicture.png</v>
      </c>
      <c r="I149" s="1" t="str">
        <f t="shared" si="29"/>
        <v>This is unit number D202</v>
      </c>
      <c r="J149" s="9">
        <v>41365</v>
      </c>
      <c r="K149" s="9">
        <v>45017</v>
      </c>
      <c r="M149" t="b">
        <v>1</v>
      </c>
    </row>
    <row r="150" spans="1:13">
      <c r="A150" s="1" t="s">
        <v>86</v>
      </c>
      <c r="B150" s="1" t="s">
        <v>227</v>
      </c>
      <c r="C150" s="1" t="str">
        <f t="shared" si="24"/>
        <v>D203@ganeshmeridian.live</v>
      </c>
      <c r="D150" s="1">
        <v>9856471448</v>
      </c>
      <c r="E150" s="1" t="str">
        <f t="shared" si="25"/>
        <v>www.D203.com</v>
      </c>
      <c r="F150" s="1" t="str">
        <f t="shared" si="26"/>
        <v>D203_logo.png</v>
      </c>
      <c r="G150" s="1" t="str">
        <f t="shared" si="27"/>
        <v>D203_icon.png</v>
      </c>
      <c r="H150" s="1" t="str">
        <f t="shared" si="28"/>
        <v>D203_profilepicture.png</v>
      </c>
      <c r="I150" s="1" t="str">
        <f t="shared" si="29"/>
        <v>This is unit number D203</v>
      </c>
      <c r="J150" s="9">
        <v>41365</v>
      </c>
      <c r="K150" s="9">
        <v>45017</v>
      </c>
      <c r="M150" t="b">
        <v>1</v>
      </c>
    </row>
    <row r="151" spans="1:13">
      <c r="A151" s="1" t="s">
        <v>85</v>
      </c>
      <c r="B151" s="1" t="s">
        <v>252</v>
      </c>
      <c r="C151" s="1" t="str">
        <f t="shared" si="24"/>
        <v>D204@ganeshmeridian.live</v>
      </c>
      <c r="D151" s="1">
        <v>9856471449</v>
      </c>
      <c r="E151" s="1" t="str">
        <f t="shared" si="25"/>
        <v>www.D204.com</v>
      </c>
      <c r="F151" s="1" t="str">
        <f t="shared" si="26"/>
        <v>D204_logo.png</v>
      </c>
      <c r="G151" s="1" t="str">
        <f t="shared" si="27"/>
        <v>D204_icon.png</v>
      </c>
      <c r="H151" s="1" t="str">
        <f t="shared" si="28"/>
        <v>D204_profilepicture.png</v>
      </c>
      <c r="I151" s="1" t="str">
        <f t="shared" si="29"/>
        <v>This is unit number D204</v>
      </c>
      <c r="J151" s="9">
        <v>41365</v>
      </c>
      <c r="K151" s="9">
        <v>45017</v>
      </c>
      <c r="M151" t="b">
        <v>1</v>
      </c>
    </row>
    <row r="152" spans="1:13">
      <c r="A152" s="1" t="s">
        <v>84</v>
      </c>
      <c r="B152" s="1" t="s">
        <v>311</v>
      </c>
      <c r="C152" s="1" t="str">
        <f t="shared" si="24"/>
        <v>D205@ganeshmeridian.live</v>
      </c>
      <c r="D152" s="1">
        <v>9856471450</v>
      </c>
      <c r="E152" s="1" t="str">
        <f t="shared" si="25"/>
        <v>www.D205.com</v>
      </c>
      <c r="F152" s="1" t="str">
        <f t="shared" si="26"/>
        <v>D205_logo.png</v>
      </c>
      <c r="G152" s="1" t="str">
        <f t="shared" si="27"/>
        <v>D205_icon.png</v>
      </c>
      <c r="H152" s="1" t="str">
        <f t="shared" si="28"/>
        <v>D205_profilepicture.png</v>
      </c>
      <c r="I152" s="1" t="str">
        <f t="shared" si="29"/>
        <v>This is unit number D205</v>
      </c>
      <c r="J152" s="9">
        <v>41365</v>
      </c>
      <c r="K152" s="9">
        <v>45017</v>
      </c>
      <c r="M152" t="b">
        <v>1</v>
      </c>
    </row>
    <row r="153" spans="1:13">
      <c r="A153" s="1" t="s">
        <v>83</v>
      </c>
      <c r="B153" s="1" t="s">
        <v>295</v>
      </c>
      <c r="C153" s="1" t="str">
        <f t="shared" si="24"/>
        <v>D206@ganeshmeridian.live</v>
      </c>
      <c r="D153" s="1">
        <v>9856471451</v>
      </c>
      <c r="E153" s="1" t="str">
        <f t="shared" si="25"/>
        <v>www.D206.com</v>
      </c>
      <c r="F153" s="1" t="str">
        <f t="shared" si="26"/>
        <v>D206_logo.png</v>
      </c>
      <c r="G153" s="1" t="str">
        <f t="shared" si="27"/>
        <v>D206_icon.png</v>
      </c>
      <c r="H153" s="1" t="str">
        <f t="shared" si="28"/>
        <v>D206_profilepicture.png</v>
      </c>
      <c r="I153" s="1" t="str">
        <f t="shared" si="29"/>
        <v>This is unit number D206</v>
      </c>
      <c r="J153" s="9">
        <v>41365</v>
      </c>
      <c r="K153" s="9">
        <v>45017</v>
      </c>
      <c r="M153" t="b">
        <v>1</v>
      </c>
    </row>
    <row r="154" spans="1:13">
      <c r="A154" s="1" t="s">
        <v>79</v>
      </c>
      <c r="B154" s="1" t="s">
        <v>455</v>
      </c>
      <c r="C154" s="1" t="str">
        <f t="shared" si="24"/>
        <v>D303@ganeshmeridian.live</v>
      </c>
      <c r="D154" s="1">
        <v>9856471455</v>
      </c>
      <c r="E154" s="1" t="str">
        <f t="shared" si="25"/>
        <v>www.D303.com</v>
      </c>
      <c r="F154" s="1" t="str">
        <f t="shared" si="26"/>
        <v>D303_logo.png</v>
      </c>
      <c r="G154" s="1" t="str">
        <f t="shared" si="27"/>
        <v>D303_icon.png</v>
      </c>
      <c r="H154" s="1" t="str">
        <f t="shared" si="28"/>
        <v>D303_profilepicture.png</v>
      </c>
      <c r="I154" s="1" t="str">
        <f t="shared" si="29"/>
        <v>This is unit number D303</v>
      </c>
      <c r="J154" s="9">
        <v>41365</v>
      </c>
      <c r="K154" s="9">
        <v>45017</v>
      </c>
      <c r="M154" t="b">
        <v>1</v>
      </c>
    </row>
    <row r="155" spans="1:13">
      <c r="A155" s="1" t="s">
        <v>78</v>
      </c>
      <c r="B155" s="1" t="s">
        <v>418</v>
      </c>
      <c r="C155" s="1" t="str">
        <f t="shared" si="24"/>
        <v>D304@ganeshmeridian.live</v>
      </c>
      <c r="D155" s="1">
        <v>9856471456</v>
      </c>
      <c r="E155" s="1" t="str">
        <f t="shared" si="25"/>
        <v>www.D304.com</v>
      </c>
      <c r="F155" s="1" t="str">
        <f t="shared" si="26"/>
        <v>D304_logo.png</v>
      </c>
      <c r="G155" s="1" t="str">
        <f t="shared" si="27"/>
        <v>D304_icon.png</v>
      </c>
      <c r="H155" s="1" t="str">
        <f t="shared" si="28"/>
        <v>D304_profilepicture.png</v>
      </c>
      <c r="I155" s="1" t="str">
        <f t="shared" si="29"/>
        <v>This is unit number D304</v>
      </c>
      <c r="J155" s="9">
        <v>41365</v>
      </c>
      <c r="K155" s="9">
        <v>45017</v>
      </c>
      <c r="M155" t="b">
        <v>1</v>
      </c>
    </row>
    <row r="156" spans="1:13">
      <c r="A156" s="1" t="s">
        <v>77</v>
      </c>
      <c r="B156" s="1" t="s">
        <v>342</v>
      </c>
      <c r="C156" s="1" t="str">
        <f t="shared" si="24"/>
        <v>D305@ganeshmeridian.live</v>
      </c>
      <c r="D156" s="1">
        <v>9856471457</v>
      </c>
      <c r="E156" s="1" t="str">
        <f t="shared" si="25"/>
        <v>www.D305.com</v>
      </c>
      <c r="F156" s="1" t="str">
        <f t="shared" si="26"/>
        <v>D305_logo.png</v>
      </c>
      <c r="G156" s="1" t="str">
        <f t="shared" si="27"/>
        <v>D305_icon.png</v>
      </c>
      <c r="H156" s="1" t="str">
        <f t="shared" si="28"/>
        <v>D305_profilepicture.png</v>
      </c>
      <c r="I156" s="1" t="str">
        <f t="shared" si="29"/>
        <v>This is unit number D305</v>
      </c>
      <c r="J156" s="9">
        <v>41365</v>
      </c>
      <c r="K156" s="9">
        <v>45017</v>
      </c>
      <c r="M156" t="b">
        <v>1</v>
      </c>
    </row>
    <row r="157" spans="1:13">
      <c r="A157" s="1" t="s">
        <v>74</v>
      </c>
      <c r="B157" s="1" t="s">
        <v>422</v>
      </c>
      <c r="C157" s="1" t="str">
        <f t="shared" si="24"/>
        <v>D308@ganeshmeridian.live</v>
      </c>
      <c r="D157" s="1">
        <v>9856471460</v>
      </c>
      <c r="E157" s="1" t="str">
        <f t="shared" si="25"/>
        <v>www.D308.com</v>
      </c>
      <c r="F157" s="1" t="str">
        <f t="shared" si="26"/>
        <v>D308_logo.png</v>
      </c>
      <c r="G157" s="1" t="str">
        <f t="shared" si="27"/>
        <v>D308_icon.png</v>
      </c>
      <c r="H157" s="1" t="str">
        <f t="shared" si="28"/>
        <v>D308_profilepicture.png</v>
      </c>
      <c r="I157" s="1" t="str">
        <f t="shared" si="29"/>
        <v>This is unit number D308</v>
      </c>
      <c r="J157" s="9">
        <v>41365</v>
      </c>
      <c r="K157" s="9">
        <v>45017</v>
      </c>
      <c r="M157" t="b">
        <v>1</v>
      </c>
    </row>
    <row r="158" spans="1:13">
      <c r="A158" s="1" t="s">
        <v>73</v>
      </c>
      <c r="B158" s="1" t="s">
        <v>207</v>
      </c>
      <c r="C158" s="1" t="str">
        <f t="shared" si="24"/>
        <v>D401@ganeshmeridian.live</v>
      </c>
      <c r="D158" s="1">
        <v>9856471461</v>
      </c>
      <c r="E158" s="1" t="str">
        <f t="shared" si="25"/>
        <v>www.D401.com</v>
      </c>
      <c r="F158" s="1" t="str">
        <f t="shared" si="26"/>
        <v>D401_logo.png</v>
      </c>
      <c r="G158" s="1" t="str">
        <f t="shared" si="27"/>
        <v>D401_icon.png</v>
      </c>
      <c r="H158" s="1" t="str">
        <f t="shared" si="28"/>
        <v>D401_profilepicture.png</v>
      </c>
      <c r="I158" s="1" t="str">
        <f t="shared" si="29"/>
        <v>This is unit number D401</v>
      </c>
      <c r="J158" s="9">
        <v>41365</v>
      </c>
      <c r="K158" s="9">
        <v>45017</v>
      </c>
      <c r="M158" t="b">
        <v>1</v>
      </c>
    </row>
    <row r="159" spans="1:13">
      <c r="A159" s="1" t="s">
        <v>70</v>
      </c>
      <c r="B159" s="1" t="s">
        <v>231</v>
      </c>
      <c r="C159" s="1" t="str">
        <f t="shared" si="24"/>
        <v>D404@ganeshmeridian.live</v>
      </c>
      <c r="D159" s="1">
        <v>9856471464</v>
      </c>
      <c r="E159" s="1" t="str">
        <f t="shared" si="25"/>
        <v>www.D404.com</v>
      </c>
      <c r="F159" s="1" t="str">
        <f t="shared" si="26"/>
        <v>D404_logo.png</v>
      </c>
      <c r="G159" s="1" t="str">
        <f t="shared" si="27"/>
        <v>D404_icon.png</v>
      </c>
      <c r="H159" s="1" t="str">
        <f t="shared" si="28"/>
        <v>D404_profilepicture.png</v>
      </c>
      <c r="I159" s="1" t="str">
        <f t="shared" si="29"/>
        <v>This is unit number D404</v>
      </c>
      <c r="J159" s="9">
        <v>41365</v>
      </c>
      <c r="K159" s="9">
        <v>45017</v>
      </c>
      <c r="M159" t="b">
        <v>1</v>
      </c>
    </row>
    <row r="160" spans="1:13">
      <c r="A160" s="1" t="s">
        <v>69</v>
      </c>
      <c r="B160" s="1" t="s">
        <v>244</v>
      </c>
      <c r="C160" s="1" t="str">
        <f t="shared" si="24"/>
        <v>D405@ganeshmeridian.live</v>
      </c>
      <c r="D160" s="1">
        <v>9856471465</v>
      </c>
      <c r="E160" s="1" t="str">
        <f t="shared" si="25"/>
        <v>www.D405.com</v>
      </c>
      <c r="F160" s="1" t="str">
        <f t="shared" si="26"/>
        <v>D405_logo.png</v>
      </c>
      <c r="G160" s="1" t="str">
        <f t="shared" si="27"/>
        <v>D405_icon.png</v>
      </c>
      <c r="H160" s="1" t="str">
        <f t="shared" si="28"/>
        <v>D405_profilepicture.png</v>
      </c>
      <c r="I160" s="1" t="str">
        <f t="shared" si="29"/>
        <v>This is unit number D405</v>
      </c>
      <c r="J160" s="9">
        <v>41365</v>
      </c>
      <c r="K160" s="9">
        <v>45017</v>
      </c>
      <c r="M160" t="b">
        <v>1</v>
      </c>
    </row>
    <row r="161" spans="1:13">
      <c r="A161" s="1" t="s">
        <v>68</v>
      </c>
      <c r="B161" s="1" t="s">
        <v>344</v>
      </c>
      <c r="C161" s="1" t="str">
        <f t="shared" si="24"/>
        <v>D406@ganeshmeridian.live</v>
      </c>
      <c r="D161" s="1">
        <v>9856471466</v>
      </c>
      <c r="E161" s="1" t="str">
        <f t="shared" si="25"/>
        <v>www.D406.com</v>
      </c>
      <c r="F161" s="1" t="str">
        <f t="shared" si="26"/>
        <v>D406_logo.png</v>
      </c>
      <c r="G161" s="1" t="str">
        <f t="shared" si="27"/>
        <v>D406_icon.png</v>
      </c>
      <c r="H161" s="1" t="str">
        <f t="shared" si="28"/>
        <v>D406_profilepicture.png</v>
      </c>
      <c r="I161" s="1" t="str">
        <f t="shared" si="29"/>
        <v>This is unit number D406</v>
      </c>
      <c r="J161" s="9">
        <v>41365</v>
      </c>
      <c r="K161" s="9">
        <v>45017</v>
      </c>
      <c r="M161" t="b">
        <v>1</v>
      </c>
    </row>
    <row r="162" spans="1:13">
      <c r="A162" s="1" t="s">
        <v>67</v>
      </c>
      <c r="B162" s="1" t="s">
        <v>187</v>
      </c>
      <c r="C162" s="1" t="str">
        <f t="shared" ref="C162:C187" si="30">A162&amp;"@ganeshmeridian.live"</f>
        <v>D407@ganeshmeridian.live</v>
      </c>
      <c r="D162" s="1">
        <v>9856471467</v>
      </c>
      <c r="E162" s="1" t="str">
        <f t="shared" ref="E162:E187" si="31">"www." &amp;A162 &amp; ".com"</f>
        <v>www.D407.com</v>
      </c>
      <c r="F162" s="1" t="str">
        <f t="shared" ref="F162:F187" si="32">A162&amp;"_logo.png"</f>
        <v>D407_logo.png</v>
      </c>
      <c r="G162" s="1" t="str">
        <f t="shared" ref="G162:G187" si="33">A162&amp;"_icon.png"</f>
        <v>D407_icon.png</v>
      </c>
      <c r="H162" s="1" t="str">
        <f t="shared" ref="H162:H187" si="34">A162&amp;"_profilepicture.png"</f>
        <v>D407_profilepicture.png</v>
      </c>
      <c r="I162" s="1" t="str">
        <f t="shared" ref="I162:I187" si="35">"This is unit number " &amp; A162</f>
        <v>This is unit number D407</v>
      </c>
      <c r="J162" s="9">
        <v>41365</v>
      </c>
      <c r="K162" s="9">
        <v>45017</v>
      </c>
      <c r="M162" t="b">
        <v>1</v>
      </c>
    </row>
    <row r="163" spans="1:13">
      <c r="A163" s="1" t="s">
        <v>66</v>
      </c>
      <c r="B163" s="1" t="s">
        <v>125</v>
      </c>
      <c r="C163" s="1" t="str">
        <f t="shared" si="30"/>
        <v>D501@ganeshmeridian.live</v>
      </c>
      <c r="D163" s="1">
        <v>9856471468</v>
      </c>
      <c r="E163" s="1" t="str">
        <f t="shared" si="31"/>
        <v>www.D501.com</v>
      </c>
      <c r="F163" s="1" t="str">
        <f t="shared" si="32"/>
        <v>D501_logo.png</v>
      </c>
      <c r="G163" s="1" t="str">
        <f t="shared" si="33"/>
        <v>D501_icon.png</v>
      </c>
      <c r="H163" s="1" t="str">
        <f t="shared" si="34"/>
        <v>D501_profilepicture.png</v>
      </c>
      <c r="I163" s="1" t="str">
        <f t="shared" si="35"/>
        <v>This is unit number D501</v>
      </c>
      <c r="J163" s="9">
        <v>41365</v>
      </c>
      <c r="K163" s="9">
        <v>45017</v>
      </c>
      <c r="M163" t="b">
        <v>1</v>
      </c>
    </row>
    <row r="164" spans="1:13">
      <c r="A164" s="1" t="s">
        <v>65</v>
      </c>
      <c r="B164" s="1" t="s">
        <v>450</v>
      </c>
      <c r="C164" s="1" t="str">
        <f t="shared" si="30"/>
        <v>D502@ganeshmeridian.live</v>
      </c>
      <c r="D164" s="1">
        <v>9856471469</v>
      </c>
      <c r="E164" s="1" t="str">
        <f t="shared" si="31"/>
        <v>www.D502.com</v>
      </c>
      <c r="F164" s="1" t="str">
        <f t="shared" si="32"/>
        <v>D502_logo.png</v>
      </c>
      <c r="G164" s="1" t="str">
        <f t="shared" si="33"/>
        <v>D502_icon.png</v>
      </c>
      <c r="H164" s="1" t="str">
        <f t="shared" si="34"/>
        <v>D502_profilepicture.png</v>
      </c>
      <c r="I164" s="1" t="str">
        <f t="shared" si="35"/>
        <v>This is unit number D502</v>
      </c>
      <c r="J164" s="9">
        <v>41365</v>
      </c>
      <c r="K164" s="9">
        <v>45017</v>
      </c>
      <c r="M164" t="b">
        <v>1</v>
      </c>
    </row>
    <row r="165" spans="1:13">
      <c r="A165" s="1" t="s">
        <v>63</v>
      </c>
      <c r="B165" s="1" t="s">
        <v>269</v>
      </c>
      <c r="C165" s="1" t="str">
        <f t="shared" si="30"/>
        <v>D504@ganeshmeridian.live</v>
      </c>
      <c r="D165" s="1">
        <v>9856471471</v>
      </c>
      <c r="E165" s="1" t="str">
        <f t="shared" si="31"/>
        <v>www.D504.com</v>
      </c>
      <c r="F165" s="1" t="str">
        <f t="shared" si="32"/>
        <v>D504_logo.png</v>
      </c>
      <c r="G165" s="1" t="str">
        <f t="shared" si="33"/>
        <v>D504_icon.png</v>
      </c>
      <c r="H165" s="1" t="str">
        <f t="shared" si="34"/>
        <v>D504_profilepicture.png</v>
      </c>
      <c r="I165" s="1" t="str">
        <f t="shared" si="35"/>
        <v>This is unit number D504</v>
      </c>
      <c r="J165" s="9">
        <v>41365</v>
      </c>
      <c r="K165" s="9">
        <v>45017</v>
      </c>
      <c r="M165" t="b">
        <v>1</v>
      </c>
    </row>
    <row r="166" spans="1:13">
      <c r="A166" s="1" t="s">
        <v>61</v>
      </c>
      <c r="B166" s="1" t="s">
        <v>315</v>
      </c>
      <c r="C166" s="1" t="str">
        <f t="shared" si="30"/>
        <v>D506@ganeshmeridian.live</v>
      </c>
      <c r="D166" s="1">
        <v>9856471473</v>
      </c>
      <c r="E166" s="1" t="str">
        <f t="shared" si="31"/>
        <v>www.D506.com</v>
      </c>
      <c r="F166" s="1" t="str">
        <f t="shared" si="32"/>
        <v>D506_logo.png</v>
      </c>
      <c r="G166" s="1" t="str">
        <f t="shared" si="33"/>
        <v>D506_icon.png</v>
      </c>
      <c r="H166" s="1" t="str">
        <f t="shared" si="34"/>
        <v>D506_profilepicture.png</v>
      </c>
      <c r="I166" s="1" t="str">
        <f t="shared" si="35"/>
        <v>This is unit number D506</v>
      </c>
      <c r="J166" s="9">
        <v>41365</v>
      </c>
      <c r="K166" s="9">
        <v>45017</v>
      </c>
      <c r="M166" t="b">
        <v>1</v>
      </c>
    </row>
    <row r="167" spans="1:13">
      <c r="A167" s="1" t="s">
        <v>60</v>
      </c>
      <c r="B167" s="1" t="s">
        <v>271</v>
      </c>
      <c r="C167" s="1" t="str">
        <f t="shared" si="30"/>
        <v>D507@ganeshmeridian.live</v>
      </c>
      <c r="D167" s="1">
        <v>9856471474</v>
      </c>
      <c r="E167" s="1" t="str">
        <f t="shared" si="31"/>
        <v>www.D507.com</v>
      </c>
      <c r="F167" s="1" t="str">
        <f t="shared" si="32"/>
        <v>D507_logo.png</v>
      </c>
      <c r="G167" s="1" t="str">
        <f t="shared" si="33"/>
        <v>D507_icon.png</v>
      </c>
      <c r="H167" s="1" t="str">
        <f t="shared" si="34"/>
        <v>D507_profilepicture.png</v>
      </c>
      <c r="I167" s="1" t="str">
        <f t="shared" si="35"/>
        <v>This is unit number D507</v>
      </c>
      <c r="J167" s="9">
        <v>41365</v>
      </c>
      <c r="K167" s="9">
        <v>45017</v>
      </c>
      <c r="M167" t="b">
        <v>1</v>
      </c>
    </row>
    <row r="168" spans="1:13">
      <c r="A168" s="1" t="s">
        <v>59</v>
      </c>
      <c r="B168" s="1" t="s">
        <v>189</v>
      </c>
      <c r="C168" s="1" t="str">
        <f t="shared" si="30"/>
        <v>D508@ganeshmeridian.live</v>
      </c>
      <c r="D168" s="1">
        <v>9856471475</v>
      </c>
      <c r="E168" s="1" t="str">
        <f t="shared" si="31"/>
        <v>www.D508.com</v>
      </c>
      <c r="F168" s="1" t="str">
        <f t="shared" si="32"/>
        <v>D508_logo.png</v>
      </c>
      <c r="G168" s="1" t="str">
        <f t="shared" si="33"/>
        <v>D508_icon.png</v>
      </c>
      <c r="H168" s="1" t="str">
        <f t="shared" si="34"/>
        <v>D508_profilepicture.png</v>
      </c>
      <c r="I168" s="1" t="str">
        <f t="shared" si="35"/>
        <v>This is unit number D508</v>
      </c>
      <c r="J168" s="9">
        <v>41365</v>
      </c>
      <c r="K168" s="9">
        <v>45017</v>
      </c>
      <c r="M168" t="b">
        <v>1</v>
      </c>
    </row>
    <row r="169" spans="1:13">
      <c r="A169" s="1" t="s">
        <v>57</v>
      </c>
      <c r="B169" s="1" t="s">
        <v>173</v>
      </c>
      <c r="C169" s="1" t="str">
        <f t="shared" si="30"/>
        <v>D602@ganeshmeridian.live</v>
      </c>
      <c r="D169" s="1">
        <v>9856471477</v>
      </c>
      <c r="E169" s="1" t="str">
        <f t="shared" si="31"/>
        <v>www.D602.com</v>
      </c>
      <c r="F169" s="1" t="str">
        <f t="shared" si="32"/>
        <v>D602_logo.png</v>
      </c>
      <c r="G169" s="1" t="str">
        <f t="shared" si="33"/>
        <v>D602_icon.png</v>
      </c>
      <c r="H169" s="1" t="str">
        <f t="shared" si="34"/>
        <v>D602_profilepicture.png</v>
      </c>
      <c r="I169" s="1" t="str">
        <f t="shared" si="35"/>
        <v>This is unit number D602</v>
      </c>
      <c r="J169" s="9">
        <v>41365</v>
      </c>
      <c r="K169" s="9">
        <v>45017</v>
      </c>
      <c r="M169" t="b">
        <v>1</v>
      </c>
    </row>
    <row r="170" spans="1:13">
      <c r="A170" s="1" t="s">
        <v>54</v>
      </c>
      <c r="B170" s="1" t="s">
        <v>414</v>
      </c>
      <c r="C170" s="1" t="str">
        <f t="shared" si="30"/>
        <v>D605@ganeshmeridian.live</v>
      </c>
      <c r="D170" s="1">
        <v>9856471480</v>
      </c>
      <c r="E170" s="1" t="str">
        <f t="shared" si="31"/>
        <v>www.D605.com</v>
      </c>
      <c r="F170" s="1" t="str">
        <f t="shared" si="32"/>
        <v>D605_logo.png</v>
      </c>
      <c r="G170" s="1" t="str">
        <f t="shared" si="33"/>
        <v>D605_icon.png</v>
      </c>
      <c r="H170" s="1" t="str">
        <f t="shared" si="34"/>
        <v>D605_profilepicture.png</v>
      </c>
      <c r="I170" s="1" t="str">
        <f t="shared" si="35"/>
        <v>This is unit number D605</v>
      </c>
      <c r="J170" s="9">
        <v>41365</v>
      </c>
      <c r="K170" s="9">
        <v>45017</v>
      </c>
      <c r="M170" t="b">
        <v>1</v>
      </c>
    </row>
    <row r="171" spans="1:13">
      <c r="A171" s="1" t="s">
        <v>53</v>
      </c>
      <c r="B171" s="1" t="s">
        <v>259</v>
      </c>
      <c r="C171" s="1" t="str">
        <f t="shared" si="30"/>
        <v>D606@ganeshmeridian.live</v>
      </c>
      <c r="D171" s="1">
        <v>9856471481</v>
      </c>
      <c r="E171" s="1" t="str">
        <f t="shared" si="31"/>
        <v>www.D606.com</v>
      </c>
      <c r="F171" s="1" t="str">
        <f t="shared" si="32"/>
        <v>D606_logo.png</v>
      </c>
      <c r="G171" s="1" t="str">
        <f t="shared" si="33"/>
        <v>D606_icon.png</v>
      </c>
      <c r="H171" s="1" t="str">
        <f t="shared" si="34"/>
        <v>D606_profilepicture.png</v>
      </c>
      <c r="I171" s="1" t="str">
        <f t="shared" si="35"/>
        <v>This is unit number D606</v>
      </c>
      <c r="J171" s="9">
        <v>41365</v>
      </c>
      <c r="K171" s="9">
        <v>45017</v>
      </c>
      <c r="M171" t="b">
        <v>1</v>
      </c>
    </row>
    <row r="172" spans="1:13">
      <c r="A172" s="1" t="s">
        <v>52</v>
      </c>
      <c r="B172" s="1" t="s">
        <v>293</v>
      </c>
      <c r="C172" s="1" t="str">
        <f t="shared" si="30"/>
        <v>D607@ganeshmeridian.live</v>
      </c>
      <c r="D172" s="1">
        <v>9856471482</v>
      </c>
      <c r="E172" s="1" t="str">
        <f t="shared" si="31"/>
        <v>www.D607.com</v>
      </c>
      <c r="F172" s="1" t="str">
        <f t="shared" si="32"/>
        <v>D607_logo.png</v>
      </c>
      <c r="G172" s="1" t="str">
        <f t="shared" si="33"/>
        <v>D607_icon.png</v>
      </c>
      <c r="H172" s="1" t="str">
        <f t="shared" si="34"/>
        <v>D607_profilepicture.png</v>
      </c>
      <c r="I172" s="1" t="str">
        <f t="shared" si="35"/>
        <v>This is unit number D607</v>
      </c>
      <c r="J172" s="9">
        <v>41365</v>
      </c>
      <c r="K172" s="9">
        <v>45017</v>
      </c>
      <c r="M172" t="b">
        <v>1</v>
      </c>
    </row>
    <row r="173" spans="1:13">
      <c r="A173" s="1" t="s">
        <v>49</v>
      </c>
      <c r="B173" s="1" t="s">
        <v>246</v>
      </c>
      <c r="C173" s="1" t="str">
        <f t="shared" si="30"/>
        <v>D703@ganeshmeridian.live</v>
      </c>
      <c r="D173" s="1">
        <v>9856471485</v>
      </c>
      <c r="E173" s="1" t="str">
        <f t="shared" si="31"/>
        <v>www.D703.com</v>
      </c>
      <c r="F173" s="1" t="str">
        <f t="shared" si="32"/>
        <v>D703_logo.png</v>
      </c>
      <c r="G173" s="1" t="str">
        <f t="shared" si="33"/>
        <v>D703_icon.png</v>
      </c>
      <c r="H173" s="1" t="str">
        <f t="shared" si="34"/>
        <v>D703_profilepicture.png</v>
      </c>
      <c r="I173" s="1" t="str">
        <f t="shared" si="35"/>
        <v>This is unit number D703</v>
      </c>
      <c r="J173" s="9">
        <v>41365</v>
      </c>
      <c r="K173" s="9">
        <v>45017</v>
      </c>
      <c r="M173" t="b">
        <v>1</v>
      </c>
    </row>
    <row r="174" spans="1:13">
      <c r="A174" s="1" t="s">
        <v>45</v>
      </c>
      <c r="B174" s="1" t="s">
        <v>406</v>
      </c>
      <c r="C174" s="1" t="str">
        <f t="shared" si="30"/>
        <v>D707@ganeshmeridian.live</v>
      </c>
      <c r="D174" s="1">
        <v>9856471489</v>
      </c>
      <c r="E174" s="1" t="str">
        <f t="shared" si="31"/>
        <v>www.D707.com</v>
      </c>
      <c r="F174" s="1" t="str">
        <f t="shared" si="32"/>
        <v>D707_logo.png</v>
      </c>
      <c r="G174" s="1" t="str">
        <f t="shared" si="33"/>
        <v>D707_icon.png</v>
      </c>
      <c r="H174" s="1" t="str">
        <f t="shared" si="34"/>
        <v>D707_profilepicture.png</v>
      </c>
      <c r="I174" s="1" t="str">
        <f t="shared" si="35"/>
        <v>This is unit number D707</v>
      </c>
      <c r="J174" s="9">
        <v>41365</v>
      </c>
      <c r="K174" s="9">
        <v>45017</v>
      </c>
      <c r="M174" t="b">
        <v>1</v>
      </c>
    </row>
    <row r="175" spans="1:13">
      <c r="A175" s="1" t="s">
        <v>43</v>
      </c>
      <c r="B175" s="1" t="s">
        <v>283</v>
      </c>
      <c r="C175" s="1" t="str">
        <f t="shared" si="30"/>
        <v>D802@ganeshmeridian.live</v>
      </c>
      <c r="D175" s="1">
        <v>9856471491</v>
      </c>
      <c r="E175" s="1" t="str">
        <f t="shared" si="31"/>
        <v>www.D802.com</v>
      </c>
      <c r="F175" s="1" t="str">
        <f t="shared" si="32"/>
        <v>D802_logo.png</v>
      </c>
      <c r="G175" s="1" t="str">
        <f t="shared" si="33"/>
        <v>D802_icon.png</v>
      </c>
      <c r="H175" s="1" t="str">
        <f t="shared" si="34"/>
        <v>D802_profilepicture.png</v>
      </c>
      <c r="I175" s="1" t="str">
        <f t="shared" si="35"/>
        <v>This is unit number D802</v>
      </c>
      <c r="J175" s="9">
        <v>41365</v>
      </c>
      <c r="K175" s="9">
        <v>45017</v>
      </c>
      <c r="M175" t="b">
        <v>1</v>
      </c>
    </row>
    <row r="176" spans="1:13">
      <c r="A176" s="1" t="s">
        <v>39</v>
      </c>
      <c r="B176" s="1" t="s">
        <v>165</v>
      </c>
      <c r="C176" s="1" t="str">
        <f t="shared" si="30"/>
        <v>D804@ganeshmeridian.live</v>
      </c>
      <c r="D176" s="1">
        <v>9856471493</v>
      </c>
      <c r="E176" s="1" t="str">
        <f t="shared" si="31"/>
        <v>www.D804.com</v>
      </c>
      <c r="F176" s="1" t="str">
        <f t="shared" si="32"/>
        <v>D804_logo.png</v>
      </c>
      <c r="G176" s="1" t="str">
        <f t="shared" si="33"/>
        <v>D804_icon.png</v>
      </c>
      <c r="H176" s="1" t="str">
        <f t="shared" si="34"/>
        <v>D804_profilepicture.png</v>
      </c>
      <c r="I176" s="1" t="str">
        <f t="shared" si="35"/>
        <v>This is unit number D804</v>
      </c>
      <c r="J176" s="9">
        <v>41365</v>
      </c>
      <c r="K176" s="9">
        <v>45017</v>
      </c>
      <c r="M176" t="b">
        <v>1</v>
      </c>
    </row>
    <row r="177" spans="1:13">
      <c r="A177" s="1" t="s">
        <v>31</v>
      </c>
      <c r="B177" s="1" t="s">
        <v>277</v>
      </c>
      <c r="C177" s="1" t="str">
        <f t="shared" si="30"/>
        <v>D901@ganeshmeridian.live</v>
      </c>
      <c r="D177" s="1">
        <v>9856471497</v>
      </c>
      <c r="E177" s="1" t="str">
        <f t="shared" si="31"/>
        <v>www.D901.com</v>
      </c>
      <c r="F177" s="1" t="str">
        <f t="shared" si="32"/>
        <v>D901_logo.png</v>
      </c>
      <c r="G177" s="1" t="str">
        <f t="shared" si="33"/>
        <v>D901_icon.png</v>
      </c>
      <c r="H177" s="1" t="str">
        <f t="shared" si="34"/>
        <v>D901_profilepicture.png</v>
      </c>
      <c r="I177" s="1" t="str">
        <f t="shared" si="35"/>
        <v>This is unit number D901</v>
      </c>
      <c r="J177" s="9">
        <v>41365</v>
      </c>
      <c r="K177" s="9">
        <v>45017</v>
      </c>
      <c r="M177" t="b">
        <v>1</v>
      </c>
    </row>
    <row r="178" spans="1:13">
      <c r="A178" s="1" t="s">
        <v>29</v>
      </c>
      <c r="B178" s="1" t="s">
        <v>385</v>
      </c>
      <c r="C178" s="1" t="str">
        <f t="shared" si="30"/>
        <v>D902@ganeshmeridian.live</v>
      </c>
      <c r="D178" s="1">
        <v>9856471498</v>
      </c>
      <c r="E178" s="1" t="str">
        <f t="shared" si="31"/>
        <v>www.D902.com</v>
      </c>
      <c r="F178" s="1" t="str">
        <f t="shared" si="32"/>
        <v>D902_logo.png</v>
      </c>
      <c r="G178" s="1" t="str">
        <f t="shared" si="33"/>
        <v>D902_icon.png</v>
      </c>
      <c r="H178" s="1" t="str">
        <f t="shared" si="34"/>
        <v>D902_profilepicture.png</v>
      </c>
      <c r="I178" s="1" t="str">
        <f t="shared" si="35"/>
        <v>This is unit number D902</v>
      </c>
      <c r="J178" s="9">
        <v>41365</v>
      </c>
      <c r="K178" s="9">
        <v>45017</v>
      </c>
      <c r="M178" t="b">
        <v>1</v>
      </c>
    </row>
    <row r="179" spans="1:13">
      <c r="A179" s="1" t="s">
        <v>27</v>
      </c>
      <c r="B179" s="1" t="s">
        <v>113</v>
      </c>
      <c r="C179" s="1" t="str">
        <f t="shared" si="30"/>
        <v>D903@ganeshmeridian.live</v>
      </c>
      <c r="D179" s="1">
        <v>9856471499</v>
      </c>
      <c r="E179" s="1" t="str">
        <f t="shared" si="31"/>
        <v>www.D903.com</v>
      </c>
      <c r="F179" s="1" t="str">
        <f t="shared" si="32"/>
        <v>D903_logo.png</v>
      </c>
      <c r="G179" s="1" t="str">
        <f t="shared" si="33"/>
        <v>D903_icon.png</v>
      </c>
      <c r="H179" s="1" t="str">
        <f t="shared" si="34"/>
        <v>D903_profilepicture.png</v>
      </c>
      <c r="I179" s="1" t="str">
        <f t="shared" si="35"/>
        <v>This is unit number D903</v>
      </c>
      <c r="J179" s="9">
        <v>41365</v>
      </c>
      <c r="K179" s="9">
        <v>45017</v>
      </c>
      <c r="M179" t="b">
        <v>1</v>
      </c>
    </row>
    <row r="180" spans="1:13">
      <c r="A180" s="1" t="s">
        <v>25</v>
      </c>
      <c r="B180" s="1" t="s">
        <v>323</v>
      </c>
      <c r="C180" s="1" t="str">
        <f t="shared" si="30"/>
        <v>D904@ganeshmeridian.live</v>
      </c>
      <c r="D180" s="1">
        <v>9856471500</v>
      </c>
      <c r="E180" s="1" t="str">
        <f t="shared" si="31"/>
        <v>www.D904.com</v>
      </c>
      <c r="F180" s="1" t="str">
        <f t="shared" si="32"/>
        <v>D904_logo.png</v>
      </c>
      <c r="G180" s="1" t="str">
        <f t="shared" si="33"/>
        <v>D904_icon.png</v>
      </c>
      <c r="H180" s="1" t="str">
        <f t="shared" si="34"/>
        <v>D904_profilepicture.png</v>
      </c>
      <c r="I180" s="1" t="str">
        <f t="shared" si="35"/>
        <v>This is unit number D904</v>
      </c>
      <c r="J180" s="9">
        <v>41365</v>
      </c>
      <c r="K180" s="9">
        <v>45017</v>
      </c>
      <c r="M180" t="b">
        <v>1</v>
      </c>
    </row>
    <row r="181" spans="1:13">
      <c r="A181" s="1" t="s">
        <v>21</v>
      </c>
      <c r="B181" s="1" t="s">
        <v>426</v>
      </c>
      <c r="C181" s="1" t="str">
        <f t="shared" si="30"/>
        <v>D906@ganeshmeridian.live</v>
      </c>
      <c r="D181" s="1">
        <v>9856471502</v>
      </c>
      <c r="E181" s="1" t="str">
        <f t="shared" si="31"/>
        <v>www.D906.com</v>
      </c>
      <c r="F181" s="1" t="str">
        <f t="shared" si="32"/>
        <v>D906_logo.png</v>
      </c>
      <c r="G181" s="1" t="str">
        <f t="shared" si="33"/>
        <v>D906_icon.png</v>
      </c>
      <c r="H181" s="1" t="str">
        <f t="shared" si="34"/>
        <v>D906_profilepicture.png</v>
      </c>
      <c r="I181" s="1" t="str">
        <f t="shared" si="35"/>
        <v>This is unit number D906</v>
      </c>
      <c r="J181" s="9">
        <v>41365</v>
      </c>
      <c r="K181" s="9">
        <v>45017</v>
      </c>
      <c r="M181" t="b">
        <v>1</v>
      </c>
    </row>
    <row r="182" spans="1:13">
      <c r="A182" s="1" t="s">
        <v>19</v>
      </c>
      <c r="B182" s="1" t="s">
        <v>400</v>
      </c>
      <c r="C182" s="1" t="str">
        <f t="shared" si="30"/>
        <v>D907@ganeshmeridian.live</v>
      </c>
      <c r="D182" s="1">
        <v>9856471503</v>
      </c>
      <c r="E182" s="1" t="str">
        <f t="shared" si="31"/>
        <v>www.D907.com</v>
      </c>
      <c r="F182" s="1" t="str">
        <f t="shared" si="32"/>
        <v>D907_logo.png</v>
      </c>
      <c r="G182" s="1" t="str">
        <f t="shared" si="33"/>
        <v>D907_icon.png</v>
      </c>
      <c r="H182" s="1" t="str">
        <f t="shared" si="34"/>
        <v>D907_profilepicture.png</v>
      </c>
      <c r="I182" s="1" t="str">
        <f t="shared" si="35"/>
        <v>This is unit number D907</v>
      </c>
      <c r="J182" s="9">
        <v>41365</v>
      </c>
      <c r="K182" s="9">
        <v>45017</v>
      </c>
      <c r="M182" t="b">
        <v>1</v>
      </c>
    </row>
    <row r="183" spans="1:13">
      <c r="A183" s="1" t="s">
        <v>17</v>
      </c>
      <c r="B183" s="1" t="s">
        <v>446</v>
      </c>
      <c r="C183" s="1" t="str">
        <f t="shared" si="30"/>
        <v>D908@ganeshmeridian.live</v>
      </c>
      <c r="D183" s="1">
        <v>9856471504</v>
      </c>
      <c r="E183" s="1" t="str">
        <f t="shared" si="31"/>
        <v>www.D908.com</v>
      </c>
      <c r="F183" s="1" t="str">
        <f t="shared" si="32"/>
        <v>D908_logo.png</v>
      </c>
      <c r="G183" s="1" t="str">
        <f t="shared" si="33"/>
        <v>D908_icon.png</v>
      </c>
      <c r="H183" s="1" t="str">
        <f t="shared" si="34"/>
        <v>D908_profilepicture.png</v>
      </c>
      <c r="I183" s="1" t="str">
        <f t="shared" si="35"/>
        <v>This is unit number D908</v>
      </c>
      <c r="J183" s="9">
        <v>41365</v>
      </c>
      <c r="K183" s="9">
        <v>45017</v>
      </c>
      <c r="M183" t="b">
        <v>1</v>
      </c>
    </row>
    <row r="184" spans="1:13">
      <c r="A184" s="1" t="s">
        <v>15</v>
      </c>
      <c r="B184" s="1" t="s">
        <v>434</v>
      </c>
      <c r="C184" s="1" t="str">
        <f t="shared" si="30"/>
        <v>D1001@ganeshmeridian.live</v>
      </c>
      <c r="D184" s="1">
        <v>9856471505</v>
      </c>
      <c r="E184" s="1" t="str">
        <f t="shared" si="31"/>
        <v>www.D1001.com</v>
      </c>
      <c r="F184" s="1" t="str">
        <f t="shared" si="32"/>
        <v>D1001_logo.png</v>
      </c>
      <c r="G184" s="1" t="str">
        <f t="shared" si="33"/>
        <v>D1001_icon.png</v>
      </c>
      <c r="H184" s="1" t="str">
        <f t="shared" si="34"/>
        <v>D1001_profilepicture.png</v>
      </c>
      <c r="I184" s="1" t="str">
        <f t="shared" si="35"/>
        <v>This is unit number D1001</v>
      </c>
      <c r="J184" s="9">
        <v>41365</v>
      </c>
      <c r="K184" s="9">
        <v>45017</v>
      </c>
      <c r="M184" t="b">
        <v>1</v>
      </c>
    </row>
    <row r="185" spans="1:13">
      <c r="A185" s="1" t="s">
        <v>9</v>
      </c>
      <c r="B185" s="1" t="s">
        <v>364</v>
      </c>
      <c r="C185" s="1" t="str">
        <f t="shared" si="30"/>
        <v>D1004@ganeshmeridian.live</v>
      </c>
      <c r="D185" s="1">
        <v>9856471508</v>
      </c>
      <c r="E185" s="1" t="str">
        <f t="shared" si="31"/>
        <v>www.D1004.com</v>
      </c>
      <c r="F185" s="1" t="str">
        <f t="shared" si="32"/>
        <v>D1004_logo.png</v>
      </c>
      <c r="G185" s="1" t="str">
        <f t="shared" si="33"/>
        <v>D1004_icon.png</v>
      </c>
      <c r="H185" s="1" t="str">
        <f t="shared" si="34"/>
        <v>D1004_profilepicture.png</v>
      </c>
      <c r="I185" s="1" t="str">
        <f t="shared" si="35"/>
        <v>This is unit number D1004</v>
      </c>
      <c r="J185" s="9">
        <v>41365</v>
      </c>
      <c r="K185" s="9">
        <v>45017</v>
      </c>
      <c r="M185" t="b">
        <v>1</v>
      </c>
    </row>
    <row r="186" spans="1:13">
      <c r="A186" s="1" t="s">
        <v>7</v>
      </c>
      <c r="B186" s="1" t="s">
        <v>167</v>
      </c>
      <c r="C186" s="1" t="str">
        <f t="shared" si="30"/>
        <v>D1005@ganeshmeridian.live</v>
      </c>
      <c r="D186" s="1">
        <v>9856471509</v>
      </c>
      <c r="E186" s="1" t="str">
        <f t="shared" si="31"/>
        <v>www.D1005.com</v>
      </c>
      <c r="F186" s="1" t="str">
        <f t="shared" si="32"/>
        <v>D1005_logo.png</v>
      </c>
      <c r="G186" s="1" t="str">
        <f t="shared" si="33"/>
        <v>D1005_icon.png</v>
      </c>
      <c r="H186" s="1" t="str">
        <f t="shared" si="34"/>
        <v>D1005_profilepicture.png</v>
      </c>
      <c r="I186" s="1" t="str">
        <f t="shared" si="35"/>
        <v>This is unit number D1005</v>
      </c>
      <c r="J186" s="9">
        <v>41365</v>
      </c>
      <c r="K186" s="9">
        <v>45017</v>
      </c>
      <c r="M186" t="b">
        <v>1</v>
      </c>
    </row>
    <row r="187" spans="1:13">
      <c r="A187" s="1" t="s">
        <v>2</v>
      </c>
      <c r="B187" s="1" t="s">
        <v>223</v>
      </c>
      <c r="C187" s="1" t="str">
        <f t="shared" si="30"/>
        <v>D1008@ganeshmeridian.live</v>
      </c>
      <c r="D187" s="1">
        <v>9856471512</v>
      </c>
      <c r="E187" s="1" t="str">
        <f t="shared" si="31"/>
        <v>www.D1008.com</v>
      </c>
      <c r="F187" s="1" t="str">
        <f t="shared" si="32"/>
        <v>D1008_logo.png</v>
      </c>
      <c r="G187" s="1" t="str">
        <f t="shared" si="33"/>
        <v>D1008_icon.png</v>
      </c>
      <c r="H187" s="1" t="str">
        <f t="shared" si="34"/>
        <v>D1008_profilepicture.png</v>
      </c>
      <c r="I187" s="1" t="str">
        <f t="shared" si="35"/>
        <v>This is unit number D1008</v>
      </c>
      <c r="J187" s="9">
        <v>41365</v>
      </c>
      <c r="K187" s="9">
        <v>45017</v>
      </c>
      <c r="M187" t="b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7"/>
  <sheetViews>
    <sheetView workbookViewId="0">
      <selection activeCell="J18" sqref="J18"/>
    </sheetView>
  </sheetViews>
  <sheetFormatPr defaultRowHeight="15"/>
  <cols>
    <col min="1" max="1" width="52.85546875" bestFit="1" customWidth="1"/>
    <col min="5" max="16384" width="9.140625" style="11"/>
  </cols>
  <sheetData>
    <row r="1" spans="1:4" s="10" customFormat="1">
      <c r="A1" s="7" t="s">
        <v>548</v>
      </c>
      <c r="B1" s="7" t="s">
        <v>478</v>
      </c>
      <c r="C1" s="7" t="s">
        <v>477</v>
      </c>
      <c r="D1" s="7" t="s">
        <v>476</v>
      </c>
    </row>
    <row r="2" spans="1:4">
      <c r="A2" s="1" t="s">
        <v>127</v>
      </c>
      <c r="B2" t="b">
        <v>0</v>
      </c>
      <c r="C2" t="b">
        <v>0</v>
      </c>
      <c r="D2" t="b">
        <v>1</v>
      </c>
    </row>
    <row r="3" spans="1:4">
      <c r="A3" s="1" t="s">
        <v>279</v>
      </c>
      <c r="B3" t="b">
        <v>0</v>
      </c>
      <c r="C3" t="b">
        <v>0</v>
      </c>
      <c r="D3" t="b">
        <v>1</v>
      </c>
    </row>
    <row r="4" spans="1:4">
      <c r="A4" s="1" t="s">
        <v>378</v>
      </c>
      <c r="B4" t="b">
        <v>0</v>
      </c>
      <c r="C4" t="b">
        <v>0</v>
      </c>
      <c r="D4" t="b">
        <v>1</v>
      </c>
    </row>
    <row r="5" spans="1:4">
      <c r="A5" s="2" t="s">
        <v>440</v>
      </c>
      <c r="B5" t="b">
        <v>0</v>
      </c>
      <c r="C5" t="b">
        <v>0</v>
      </c>
      <c r="D5" t="b">
        <v>1</v>
      </c>
    </row>
    <row r="6" spans="1:4">
      <c r="A6" s="2" t="s">
        <v>24</v>
      </c>
      <c r="B6" t="b">
        <v>0</v>
      </c>
      <c r="C6" t="b">
        <v>0</v>
      </c>
      <c r="D6" t="b">
        <v>1</v>
      </c>
    </row>
    <row r="7" spans="1:4">
      <c r="A7" s="1" t="s">
        <v>305</v>
      </c>
      <c r="B7" t="b">
        <v>0</v>
      </c>
      <c r="C7" t="b">
        <v>0</v>
      </c>
      <c r="D7" t="b">
        <v>1</v>
      </c>
    </row>
    <row r="8" spans="1:4">
      <c r="A8" s="1" t="s">
        <v>267</v>
      </c>
      <c r="B8" t="b">
        <v>0</v>
      </c>
      <c r="C8" t="b">
        <v>0</v>
      </c>
      <c r="D8" t="b">
        <v>1</v>
      </c>
    </row>
    <row r="9" spans="1:4">
      <c r="A9" s="1" t="s">
        <v>356</v>
      </c>
      <c r="B9" t="b">
        <v>0</v>
      </c>
      <c r="C9" t="b">
        <v>0</v>
      </c>
      <c r="D9" t="b">
        <v>1</v>
      </c>
    </row>
    <row r="10" spans="1:4">
      <c r="A10" s="1" t="s">
        <v>197</v>
      </c>
      <c r="B10" t="b">
        <v>0</v>
      </c>
      <c r="C10" t="b">
        <v>0</v>
      </c>
      <c r="D10" t="b">
        <v>1</v>
      </c>
    </row>
    <row r="11" spans="1:4">
      <c r="A11" s="1" t="s">
        <v>209</v>
      </c>
      <c r="B11" t="b">
        <v>0</v>
      </c>
      <c r="C11" t="b">
        <v>0</v>
      </c>
      <c r="D11" t="b">
        <v>1</v>
      </c>
    </row>
    <row r="12" spans="1:4">
      <c r="A12" s="1" t="s">
        <v>38</v>
      </c>
      <c r="B12" t="b">
        <v>0</v>
      </c>
      <c r="C12" t="b">
        <v>0</v>
      </c>
      <c r="D12" t="b">
        <v>1</v>
      </c>
    </row>
    <row r="13" spans="1:4">
      <c r="A13" s="1" t="s">
        <v>371</v>
      </c>
      <c r="B13" t="b">
        <v>0</v>
      </c>
      <c r="C13" t="b">
        <v>0</v>
      </c>
      <c r="D13" t="b">
        <v>1</v>
      </c>
    </row>
    <row r="14" spans="1:4">
      <c r="A14" s="1" t="s">
        <v>436</v>
      </c>
      <c r="B14" t="b">
        <v>0</v>
      </c>
      <c r="C14" t="b">
        <v>0</v>
      </c>
      <c r="D14" t="b">
        <v>1</v>
      </c>
    </row>
    <row r="15" spans="1:4">
      <c r="A15" s="1" t="s">
        <v>457</v>
      </c>
      <c r="B15" t="b">
        <v>0</v>
      </c>
      <c r="C15" t="b">
        <v>0</v>
      </c>
      <c r="D15" t="b">
        <v>1</v>
      </c>
    </row>
    <row r="16" spans="1:4">
      <c r="A16" s="1" t="s">
        <v>291</v>
      </c>
      <c r="B16" t="b">
        <v>0</v>
      </c>
      <c r="C16" t="b">
        <v>0</v>
      </c>
      <c r="D16" t="b">
        <v>1</v>
      </c>
    </row>
    <row r="17" spans="1:4">
      <c r="A17" s="1" t="s">
        <v>32</v>
      </c>
      <c r="B17" t="b">
        <v>0</v>
      </c>
      <c r="C17" t="b">
        <v>0</v>
      </c>
      <c r="D17" t="b">
        <v>1</v>
      </c>
    </row>
    <row r="18" spans="1:4">
      <c r="A18" s="1" t="s">
        <v>395</v>
      </c>
      <c r="B18" t="b">
        <v>0</v>
      </c>
      <c r="C18" t="b">
        <v>0</v>
      </c>
      <c r="D18" t="b">
        <v>1</v>
      </c>
    </row>
    <row r="19" spans="1:4">
      <c r="A19" s="1" t="s">
        <v>142</v>
      </c>
      <c r="B19" t="b">
        <v>0</v>
      </c>
      <c r="C19" t="b">
        <v>0</v>
      </c>
      <c r="D19" t="b">
        <v>1</v>
      </c>
    </row>
    <row r="20" spans="1:4">
      <c r="A20" s="1" t="s">
        <v>331</v>
      </c>
      <c r="B20" t="b">
        <v>0</v>
      </c>
      <c r="C20" t="b">
        <v>0</v>
      </c>
      <c r="D20" t="b">
        <v>1</v>
      </c>
    </row>
    <row r="21" spans="1:4">
      <c r="A21" s="1" t="s">
        <v>382</v>
      </c>
      <c r="B21" t="b">
        <v>0</v>
      </c>
      <c r="C21" t="b">
        <v>0</v>
      </c>
      <c r="D21" t="b">
        <v>1</v>
      </c>
    </row>
    <row r="22" spans="1:4">
      <c r="A22" s="1" t="s">
        <v>18</v>
      </c>
      <c r="B22" t="b">
        <v>0</v>
      </c>
      <c r="C22" t="b">
        <v>0</v>
      </c>
      <c r="D22" t="b">
        <v>1</v>
      </c>
    </row>
    <row r="23" spans="1:4">
      <c r="A23" s="1" t="s">
        <v>299</v>
      </c>
      <c r="B23" t="b">
        <v>0</v>
      </c>
      <c r="C23" t="b">
        <v>0</v>
      </c>
      <c r="D23" t="b">
        <v>1</v>
      </c>
    </row>
    <row r="24" spans="1:4">
      <c r="A24" s="1" t="s">
        <v>30</v>
      </c>
      <c r="B24" t="b">
        <v>0</v>
      </c>
      <c r="C24" t="b">
        <v>0</v>
      </c>
      <c r="D24" t="b">
        <v>1</v>
      </c>
    </row>
    <row r="25" spans="1:4">
      <c r="A25" s="1" t="s">
        <v>424</v>
      </c>
      <c r="B25" t="b">
        <v>0</v>
      </c>
      <c r="C25" t="b">
        <v>0</v>
      </c>
      <c r="D25" t="b">
        <v>1</v>
      </c>
    </row>
    <row r="26" spans="1:4">
      <c r="A26" s="1" t="s">
        <v>340</v>
      </c>
      <c r="B26" t="b">
        <v>0</v>
      </c>
      <c r="C26" t="b">
        <v>0</v>
      </c>
      <c r="D26" t="b">
        <v>1</v>
      </c>
    </row>
    <row r="27" spans="1:4">
      <c r="A27" s="1" t="s">
        <v>121</v>
      </c>
      <c r="B27" t="b">
        <v>0</v>
      </c>
      <c r="C27" t="b">
        <v>0</v>
      </c>
      <c r="D27" t="b">
        <v>1</v>
      </c>
    </row>
    <row r="28" spans="1:4">
      <c r="A28" s="1" t="s">
        <v>28</v>
      </c>
      <c r="B28" t="b">
        <v>0</v>
      </c>
      <c r="C28" t="b">
        <v>0</v>
      </c>
      <c r="D28" t="b">
        <v>1</v>
      </c>
    </row>
    <row r="29" spans="1:4">
      <c r="A29" s="1" t="s">
        <v>119</v>
      </c>
      <c r="B29" t="b">
        <v>0</v>
      </c>
      <c r="C29" t="b">
        <v>0</v>
      </c>
      <c r="D29" t="b">
        <v>1</v>
      </c>
    </row>
    <row r="30" spans="1:4">
      <c r="A30" s="1" t="s">
        <v>181</v>
      </c>
      <c r="B30" t="b">
        <v>0</v>
      </c>
      <c r="C30" t="b">
        <v>0</v>
      </c>
      <c r="D30" t="b">
        <v>1</v>
      </c>
    </row>
    <row r="31" spans="1:4">
      <c r="A31" s="1" t="s">
        <v>26</v>
      </c>
      <c r="B31" t="b">
        <v>0</v>
      </c>
      <c r="C31" t="b">
        <v>0</v>
      </c>
      <c r="D31" t="b">
        <v>1</v>
      </c>
    </row>
    <row r="32" spans="1:4">
      <c r="A32" s="1" t="s">
        <v>135</v>
      </c>
      <c r="B32" t="b">
        <v>0</v>
      </c>
      <c r="C32" t="b">
        <v>0</v>
      </c>
      <c r="D32" t="b">
        <v>1</v>
      </c>
    </row>
    <row r="33" spans="1:4">
      <c r="A33" s="1" t="s">
        <v>193</v>
      </c>
      <c r="B33" t="b">
        <v>0</v>
      </c>
      <c r="C33" t="b">
        <v>0</v>
      </c>
      <c r="D33" t="b">
        <v>1</v>
      </c>
    </row>
    <row r="34" spans="1:4">
      <c r="A34" s="1" t="s">
        <v>358</v>
      </c>
      <c r="B34" t="b">
        <v>0</v>
      </c>
      <c r="C34" t="b">
        <v>0</v>
      </c>
      <c r="D34" t="b">
        <v>1</v>
      </c>
    </row>
    <row r="35" spans="1:4">
      <c r="A35" s="1" t="s">
        <v>327</v>
      </c>
      <c r="B35" t="b">
        <v>0</v>
      </c>
      <c r="C35" t="b">
        <v>0</v>
      </c>
      <c r="D35" t="b">
        <v>1</v>
      </c>
    </row>
    <row r="36" spans="1:4">
      <c r="A36" s="1" t="s">
        <v>34</v>
      </c>
      <c r="B36" t="b">
        <v>0</v>
      </c>
      <c r="C36" t="b">
        <v>0</v>
      </c>
      <c r="D36" t="b">
        <v>1</v>
      </c>
    </row>
    <row r="37" spans="1:4">
      <c r="A37" s="1" t="s">
        <v>6</v>
      </c>
      <c r="B37" t="b">
        <v>0</v>
      </c>
      <c r="C37" t="b">
        <v>0</v>
      </c>
      <c r="D37" t="b">
        <v>1</v>
      </c>
    </row>
    <row r="38" spans="1:4">
      <c r="A38" s="1" t="s">
        <v>217</v>
      </c>
      <c r="B38" t="b">
        <v>0</v>
      </c>
      <c r="C38" t="b">
        <v>0</v>
      </c>
      <c r="D38" t="b">
        <v>1</v>
      </c>
    </row>
    <row r="39" spans="1:4">
      <c r="A39" s="1" t="s">
        <v>42</v>
      </c>
      <c r="B39" t="b">
        <v>0</v>
      </c>
      <c r="C39" t="b">
        <v>0</v>
      </c>
      <c r="D39" t="b">
        <v>1</v>
      </c>
    </row>
    <row r="40" spans="1:4">
      <c r="A40" s="1" t="s">
        <v>297</v>
      </c>
      <c r="B40" t="b">
        <v>0</v>
      </c>
      <c r="C40" t="b">
        <v>0</v>
      </c>
      <c r="D40" t="b">
        <v>1</v>
      </c>
    </row>
    <row r="41" spans="1:4">
      <c r="A41" s="1" t="s">
        <v>281</v>
      </c>
      <c r="B41" t="b">
        <v>0</v>
      </c>
      <c r="C41" t="b">
        <v>0</v>
      </c>
      <c r="D41" t="b">
        <v>1</v>
      </c>
    </row>
    <row r="42" spans="1:4">
      <c r="A42" s="1" t="s">
        <v>410</v>
      </c>
      <c r="B42" t="b">
        <v>0</v>
      </c>
      <c r="C42" t="b">
        <v>0</v>
      </c>
      <c r="D42" t="b">
        <v>1</v>
      </c>
    </row>
    <row r="43" spans="1:4">
      <c r="A43" s="1" t="s">
        <v>152</v>
      </c>
      <c r="B43" t="b">
        <v>0</v>
      </c>
      <c r="C43" t="b">
        <v>0</v>
      </c>
      <c r="D43" t="b">
        <v>1</v>
      </c>
    </row>
    <row r="44" spans="1:4">
      <c r="A44" s="1" t="s">
        <v>346</v>
      </c>
      <c r="B44" t="b">
        <v>0</v>
      </c>
      <c r="C44" t="b">
        <v>0</v>
      </c>
      <c r="D44" t="b">
        <v>1</v>
      </c>
    </row>
    <row r="45" spans="1:4">
      <c r="A45" s="1" t="s">
        <v>171</v>
      </c>
      <c r="B45" t="b">
        <v>0</v>
      </c>
      <c r="C45" t="b">
        <v>0</v>
      </c>
      <c r="D45" t="b">
        <v>1</v>
      </c>
    </row>
    <row r="46" spans="1:4">
      <c r="A46" s="1" t="s">
        <v>12</v>
      </c>
      <c r="B46" t="b">
        <v>0</v>
      </c>
      <c r="C46" t="b">
        <v>0</v>
      </c>
      <c r="D46" t="b">
        <v>1</v>
      </c>
    </row>
    <row r="47" spans="1:4">
      <c r="A47" s="1" t="s">
        <v>319</v>
      </c>
      <c r="B47" t="b">
        <v>0</v>
      </c>
      <c r="C47" t="b">
        <v>0</v>
      </c>
      <c r="D47" t="b">
        <v>1</v>
      </c>
    </row>
    <row r="48" spans="1:4">
      <c r="A48" s="1" t="s">
        <v>211</v>
      </c>
      <c r="B48" t="b">
        <v>0</v>
      </c>
      <c r="C48" t="b">
        <v>0</v>
      </c>
      <c r="D48" t="b">
        <v>1</v>
      </c>
    </row>
    <row r="49" spans="1:4">
      <c r="A49" s="1" t="s">
        <v>185</v>
      </c>
      <c r="B49" t="b">
        <v>0</v>
      </c>
      <c r="C49" t="b">
        <v>0</v>
      </c>
      <c r="D49" t="b">
        <v>1</v>
      </c>
    </row>
    <row r="50" spans="1:4">
      <c r="A50" s="1" t="s">
        <v>444</v>
      </c>
      <c r="B50" t="b">
        <v>0</v>
      </c>
      <c r="C50" t="b">
        <v>0</v>
      </c>
      <c r="D50" t="b">
        <v>1</v>
      </c>
    </row>
    <row r="51" spans="1:4">
      <c r="A51" s="1" t="s">
        <v>16</v>
      </c>
      <c r="B51" t="b">
        <v>0</v>
      </c>
      <c r="C51" t="b">
        <v>0</v>
      </c>
      <c r="D51" t="b">
        <v>1</v>
      </c>
    </row>
    <row r="52" spans="1:4">
      <c r="A52" s="1" t="s">
        <v>201</v>
      </c>
      <c r="B52" t="b">
        <v>0</v>
      </c>
      <c r="C52" t="b">
        <v>0</v>
      </c>
      <c r="D52" t="b">
        <v>1</v>
      </c>
    </row>
    <row r="53" spans="1:4">
      <c r="A53" s="1" t="s">
        <v>428</v>
      </c>
      <c r="B53" t="b">
        <v>0</v>
      </c>
      <c r="C53" t="b">
        <v>0</v>
      </c>
      <c r="D53" t="b">
        <v>1</v>
      </c>
    </row>
    <row r="54" spans="1:4">
      <c r="A54" s="1" t="s">
        <v>448</v>
      </c>
      <c r="B54" t="b">
        <v>0</v>
      </c>
      <c r="C54" t="b">
        <v>0</v>
      </c>
      <c r="D54" t="b">
        <v>1</v>
      </c>
    </row>
    <row r="55" spans="1:4">
      <c r="A55" s="1" t="s">
        <v>158</v>
      </c>
      <c r="B55" t="b">
        <v>0</v>
      </c>
      <c r="C55" t="b">
        <v>0</v>
      </c>
      <c r="D55" t="b">
        <v>1</v>
      </c>
    </row>
    <row r="56" spans="1:4">
      <c r="A56" s="1" t="s">
        <v>273</v>
      </c>
      <c r="B56" t="b">
        <v>0</v>
      </c>
      <c r="C56" t="b">
        <v>0</v>
      </c>
      <c r="D56" t="b">
        <v>1</v>
      </c>
    </row>
    <row r="57" spans="1:4">
      <c r="A57" s="1" t="s">
        <v>242</v>
      </c>
      <c r="B57" t="b">
        <v>0</v>
      </c>
      <c r="C57" t="b">
        <v>0</v>
      </c>
      <c r="D57" t="b">
        <v>1</v>
      </c>
    </row>
    <row r="58" spans="1:4">
      <c r="A58" s="2" t="s">
        <v>20</v>
      </c>
      <c r="B58" t="b">
        <v>0</v>
      </c>
      <c r="C58" t="b">
        <v>0</v>
      </c>
      <c r="D58" t="b">
        <v>1</v>
      </c>
    </row>
    <row r="59" spans="1:4">
      <c r="A59" s="2" t="s">
        <v>148</v>
      </c>
      <c r="B59" t="b">
        <v>0</v>
      </c>
      <c r="C59" t="b">
        <v>0</v>
      </c>
      <c r="D59" t="b">
        <v>1</v>
      </c>
    </row>
    <row r="60" spans="1:4">
      <c r="A60" s="1" t="s">
        <v>250</v>
      </c>
      <c r="B60" t="b">
        <v>0</v>
      </c>
      <c r="C60" t="b">
        <v>0</v>
      </c>
      <c r="D60" t="b">
        <v>1</v>
      </c>
    </row>
    <row r="61" spans="1:4">
      <c r="A61" s="1" t="s">
        <v>366</v>
      </c>
      <c r="B61" t="b">
        <v>0</v>
      </c>
      <c r="C61" t="b">
        <v>0</v>
      </c>
      <c r="D61" t="b">
        <v>1</v>
      </c>
    </row>
    <row r="62" spans="1:4">
      <c r="A62" s="1" t="s">
        <v>233</v>
      </c>
      <c r="B62" t="b">
        <v>0</v>
      </c>
      <c r="C62" t="b">
        <v>0</v>
      </c>
      <c r="D62" t="b">
        <v>1</v>
      </c>
    </row>
    <row r="63" spans="1:4">
      <c r="A63" s="1" t="s">
        <v>156</v>
      </c>
      <c r="B63" t="b">
        <v>0</v>
      </c>
      <c r="C63" t="b">
        <v>0</v>
      </c>
      <c r="D63" t="b">
        <v>1</v>
      </c>
    </row>
    <row r="64" spans="1:4">
      <c r="A64" s="1" t="s">
        <v>463</v>
      </c>
      <c r="B64" t="b">
        <v>0</v>
      </c>
      <c r="C64" t="b">
        <v>0</v>
      </c>
      <c r="D64" t="b">
        <v>1</v>
      </c>
    </row>
    <row r="65" spans="1:4">
      <c r="A65" s="1" t="s">
        <v>420</v>
      </c>
      <c r="B65" t="b">
        <v>0</v>
      </c>
      <c r="C65" t="b">
        <v>0</v>
      </c>
      <c r="D65" t="b">
        <v>1</v>
      </c>
    </row>
    <row r="66" spans="1:4">
      <c r="A66" s="1" t="s">
        <v>1</v>
      </c>
      <c r="B66" t="b">
        <v>0</v>
      </c>
      <c r="C66" t="b">
        <v>0</v>
      </c>
      <c r="D66" t="b">
        <v>1</v>
      </c>
    </row>
    <row r="67" spans="1:4">
      <c r="A67" s="1" t="s">
        <v>10</v>
      </c>
      <c r="B67" t="b">
        <v>0</v>
      </c>
      <c r="C67" t="b">
        <v>0</v>
      </c>
      <c r="D67" t="b">
        <v>1</v>
      </c>
    </row>
    <row r="68" spans="1:4">
      <c r="A68" s="1" t="s">
        <v>321</v>
      </c>
      <c r="B68" t="b">
        <v>0</v>
      </c>
      <c r="C68" t="b">
        <v>0</v>
      </c>
      <c r="D68" t="b">
        <v>1</v>
      </c>
    </row>
    <row r="69" spans="1:4">
      <c r="A69" s="1" t="s">
        <v>285</v>
      </c>
      <c r="B69" t="b">
        <v>0</v>
      </c>
      <c r="C69" t="b">
        <v>0</v>
      </c>
      <c r="D69" t="b">
        <v>1</v>
      </c>
    </row>
    <row r="70" spans="1:4">
      <c r="A70" s="1" t="s">
        <v>350</v>
      </c>
      <c r="B70" t="b">
        <v>0</v>
      </c>
      <c r="C70" t="b">
        <v>0</v>
      </c>
      <c r="D70" t="b">
        <v>1</v>
      </c>
    </row>
    <row r="71" spans="1:4">
      <c r="A71" s="1" t="s">
        <v>14</v>
      </c>
      <c r="B71" t="b">
        <v>0</v>
      </c>
      <c r="C71" t="b">
        <v>0</v>
      </c>
      <c r="D71" t="b">
        <v>1</v>
      </c>
    </row>
    <row r="72" spans="1:4">
      <c r="A72" s="1" t="s">
        <v>240</v>
      </c>
      <c r="B72" t="b">
        <v>0</v>
      </c>
      <c r="C72" t="b">
        <v>0</v>
      </c>
      <c r="D72" t="b">
        <v>1</v>
      </c>
    </row>
    <row r="73" spans="1:4">
      <c r="A73" s="1" t="s">
        <v>325</v>
      </c>
      <c r="B73" t="b">
        <v>0</v>
      </c>
      <c r="C73" t="b">
        <v>0</v>
      </c>
      <c r="D73" t="b">
        <v>1</v>
      </c>
    </row>
    <row r="74" spans="1:4">
      <c r="A74" s="1" t="s">
        <v>263</v>
      </c>
      <c r="B74" t="b">
        <v>0</v>
      </c>
      <c r="C74" t="b">
        <v>0</v>
      </c>
      <c r="D74" t="b">
        <v>1</v>
      </c>
    </row>
    <row r="75" spans="1:4">
      <c r="A75" s="1" t="s">
        <v>317</v>
      </c>
      <c r="B75" t="b">
        <v>0</v>
      </c>
      <c r="C75" t="b">
        <v>0</v>
      </c>
      <c r="D75" t="b">
        <v>1</v>
      </c>
    </row>
    <row r="76" spans="1:4">
      <c r="A76" s="1" t="s">
        <v>438</v>
      </c>
      <c r="B76" t="b">
        <v>0</v>
      </c>
      <c r="C76" t="b">
        <v>0</v>
      </c>
      <c r="D76" t="b">
        <v>1</v>
      </c>
    </row>
    <row r="77" spans="1:4">
      <c r="A77" s="1" t="s">
        <v>393</v>
      </c>
      <c r="B77" t="b">
        <v>0</v>
      </c>
      <c r="C77" t="b">
        <v>0</v>
      </c>
      <c r="D77" t="b">
        <v>1</v>
      </c>
    </row>
    <row r="78" spans="1:4">
      <c r="A78" s="1" t="s">
        <v>335</v>
      </c>
      <c r="B78" t="b">
        <v>0</v>
      </c>
      <c r="C78" t="b">
        <v>0</v>
      </c>
      <c r="D78" t="b">
        <v>1</v>
      </c>
    </row>
    <row r="79" spans="1:4">
      <c r="A79" s="1" t="s">
        <v>115</v>
      </c>
      <c r="B79" t="b">
        <v>0</v>
      </c>
      <c r="C79" t="b">
        <v>0</v>
      </c>
      <c r="D79" t="b">
        <v>1</v>
      </c>
    </row>
    <row r="80" spans="1:4">
      <c r="A80" s="1" t="s">
        <v>22</v>
      </c>
      <c r="B80" t="b">
        <v>0</v>
      </c>
      <c r="C80" t="b">
        <v>0</v>
      </c>
      <c r="D80" t="b">
        <v>1</v>
      </c>
    </row>
    <row r="81" spans="1:4">
      <c r="A81" s="1" t="s">
        <v>389</v>
      </c>
      <c r="B81" t="b">
        <v>0</v>
      </c>
      <c r="C81" t="b">
        <v>0</v>
      </c>
      <c r="D81" t="b">
        <v>1</v>
      </c>
    </row>
    <row r="82" spans="1:4">
      <c r="A82" s="1" t="s">
        <v>213</v>
      </c>
      <c r="B82" t="b">
        <v>0</v>
      </c>
      <c r="C82" t="b">
        <v>0</v>
      </c>
      <c r="D82" t="b">
        <v>1</v>
      </c>
    </row>
    <row r="83" spans="1:4">
      <c r="A83" s="1" t="s">
        <v>123</v>
      </c>
      <c r="B83" t="b">
        <v>0</v>
      </c>
      <c r="C83" t="b">
        <v>0</v>
      </c>
      <c r="D83" t="b">
        <v>1</v>
      </c>
    </row>
    <row r="84" spans="1:4">
      <c r="A84" s="1" t="s">
        <v>146</v>
      </c>
      <c r="B84" t="b">
        <v>0</v>
      </c>
      <c r="C84" t="b">
        <v>0</v>
      </c>
      <c r="D84" t="b">
        <v>1</v>
      </c>
    </row>
    <row r="85" spans="1:4">
      <c r="A85" s="1" t="s">
        <v>131</v>
      </c>
      <c r="B85" t="b">
        <v>0</v>
      </c>
      <c r="C85" t="b">
        <v>0</v>
      </c>
      <c r="D85" t="b">
        <v>1</v>
      </c>
    </row>
    <row r="86" spans="1:4">
      <c r="A86" s="1" t="s">
        <v>235</v>
      </c>
      <c r="B86" t="b">
        <v>0</v>
      </c>
      <c r="C86" t="b">
        <v>0</v>
      </c>
      <c r="D86" t="b">
        <v>1</v>
      </c>
    </row>
    <row r="87" spans="1:4">
      <c r="A87" s="1" t="s">
        <v>412</v>
      </c>
      <c r="B87" t="b">
        <v>0</v>
      </c>
      <c r="C87" t="b">
        <v>0</v>
      </c>
      <c r="D87" t="b">
        <v>1</v>
      </c>
    </row>
    <row r="88" spans="1:4">
      <c r="A88" s="1" t="s">
        <v>387</v>
      </c>
      <c r="B88" t="b">
        <v>0</v>
      </c>
      <c r="C88" t="b">
        <v>0</v>
      </c>
      <c r="D88" t="b">
        <v>1</v>
      </c>
    </row>
    <row r="89" spans="1:4">
      <c r="A89" s="1" t="s">
        <v>144</v>
      </c>
      <c r="B89" t="b">
        <v>0</v>
      </c>
      <c r="C89" t="b">
        <v>0</v>
      </c>
      <c r="D89" t="b">
        <v>1</v>
      </c>
    </row>
    <row r="90" spans="1:4">
      <c r="A90" s="1" t="s">
        <v>154</v>
      </c>
      <c r="B90" t="b">
        <v>0</v>
      </c>
      <c r="C90" t="b">
        <v>0</v>
      </c>
      <c r="D90" t="b">
        <v>1</v>
      </c>
    </row>
    <row r="91" spans="1:4">
      <c r="A91" s="1" t="s">
        <v>3</v>
      </c>
      <c r="B91" t="b">
        <v>0</v>
      </c>
      <c r="C91" t="b">
        <v>0</v>
      </c>
      <c r="D91" t="b">
        <v>1</v>
      </c>
    </row>
    <row r="92" spans="1:4">
      <c r="A92" s="1" t="s">
        <v>408</v>
      </c>
      <c r="B92" t="b">
        <v>0</v>
      </c>
      <c r="C92" t="b">
        <v>0</v>
      </c>
      <c r="D92" t="b">
        <v>1</v>
      </c>
    </row>
    <row r="93" spans="1:4">
      <c r="A93" s="1" t="s">
        <v>129</v>
      </c>
      <c r="B93" t="b">
        <v>0</v>
      </c>
      <c r="C93" t="b">
        <v>0</v>
      </c>
      <c r="D93" t="b">
        <v>1</v>
      </c>
    </row>
    <row r="94" spans="1:4">
      <c r="A94" s="1" t="s">
        <v>452</v>
      </c>
      <c r="B94" t="b">
        <v>0</v>
      </c>
      <c r="C94" t="b">
        <v>0</v>
      </c>
      <c r="D94" t="b">
        <v>1</v>
      </c>
    </row>
    <row r="95" spans="1:4">
      <c r="A95" s="1" t="s">
        <v>303</v>
      </c>
      <c r="B95" t="b">
        <v>0</v>
      </c>
      <c r="C95" t="b">
        <v>0</v>
      </c>
      <c r="D95" t="b">
        <v>1</v>
      </c>
    </row>
    <row r="96" spans="1:4">
      <c r="A96" s="1" t="s">
        <v>313</v>
      </c>
      <c r="B96" t="b">
        <v>0</v>
      </c>
      <c r="C96" t="b">
        <v>0</v>
      </c>
      <c r="D96" t="b">
        <v>1</v>
      </c>
    </row>
    <row r="97" spans="1:4">
      <c r="A97" s="1" t="s">
        <v>205</v>
      </c>
      <c r="B97" t="b">
        <v>0</v>
      </c>
      <c r="C97" t="b">
        <v>0</v>
      </c>
      <c r="D97" t="b">
        <v>1</v>
      </c>
    </row>
    <row r="98" spans="1:4">
      <c r="A98" s="1" t="s">
        <v>391</v>
      </c>
      <c r="B98" t="b">
        <v>0</v>
      </c>
      <c r="C98" t="b">
        <v>0</v>
      </c>
      <c r="D98" t="b">
        <v>1</v>
      </c>
    </row>
    <row r="99" spans="1:4">
      <c r="A99" s="1" t="s">
        <v>160</v>
      </c>
      <c r="B99" t="b">
        <v>0</v>
      </c>
      <c r="C99" t="b">
        <v>0</v>
      </c>
      <c r="D99" t="b">
        <v>1</v>
      </c>
    </row>
    <row r="100" spans="1:4">
      <c r="A100" s="1" t="s">
        <v>416</v>
      </c>
      <c r="B100" t="b">
        <v>0</v>
      </c>
      <c r="C100" t="b">
        <v>0</v>
      </c>
      <c r="D100" t="b">
        <v>1</v>
      </c>
    </row>
    <row r="101" spans="1:4">
      <c r="A101" s="1" t="s">
        <v>352</v>
      </c>
      <c r="B101" t="b">
        <v>0</v>
      </c>
      <c r="C101" t="b">
        <v>0</v>
      </c>
      <c r="D101" t="b">
        <v>1</v>
      </c>
    </row>
    <row r="102" spans="1:4">
      <c r="A102" s="1" t="s">
        <v>348</v>
      </c>
      <c r="B102" t="b">
        <v>0</v>
      </c>
      <c r="C102" t="b">
        <v>0</v>
      </c>
      <c r="D102" t="b">
        <v>1</v>
      </c>
    </row>
    <row r="103" spans="1:4">
      <c r="A103" s="1" t="s">
        <v>191</v>
      </c>
      <c r="B103" t="b">
        <v>0</v>
      </c>
      <c r="C103" t="b">
        <v>0</v>
      </c>
      <c r="D103" t="b">
        <v>1</v>
      </c>
    </row>
    <row r="104" spans="1:4">
      <c r="A104" s="1" t="s">
        <v>238</v>
      </c>
      <c r="B104" t="b">
        <v>0</v>
      </c>
      <c r="C104" t="b">
        <v>0</v>
      </c>
      <c r="D104" t="b">
        <v>1</v>
      </c>
    </row>
    <row r="105" spans="1:4">
      <c r="A105" s="1" t="s">
        <v>177</v>
      </c>
      <c r="B105" t="b">
        <v>0</v>
      </c>
      <c r="C105" t="b">
        <v>0</v>
      </c>
      <c r="D105" t="b">
        <v>1</v>
      </c>
    </row>
    <row r="106" spans="1:4">
      <c r="A106" s="1" t="s">
        <v>175</v>
      </c>
      <c r="B106" t="b">
        <v>0</v>
      </c>
      <c r="C106" t="b">
        <v>0</v>
      </c>
      <c r="D106" t="b">
        <v>1</v>
      </c>
    </row>
    <row r="107" spans="1:4">
      <c r="A107" s="1" t="s">
        <v>117</v>
      </c>
      <c r="B107" t="b">
        <v>0</v>
      </c>
      <c r="C107" t="b">
        <v>0</v>
      </c>
      <c r="D107" t="b">
        <v>1</v>
      </c>
    </row>
    <row r="108" spans="1:4">
      <c r="A108" s="1" t="s">
        <v>203</v>
      </c>
      <c r="B108" t="b">
        <v>0</v>
      </c>
      <c r="C108" t="b">
        <v>0</v>
      </c>
      <c r="D108" t="b">
        <v>1</v>
      </c>
    </row>
    <row r="109" spans="1:4">
      <c r="A109" s="1" t="s">
        <v>150</v>
      </c>
      <c r="B109" t="b">
        <v>0</v>
      </c>
      <c r="C109" t="b">
        <v>0</v>
      </c>
      <c r="D109" t="b">
        <v>1</v>
      </c>
    </row>
    <row r="110" spans="1:4">
      <c r="A110" s="1" t="s">
        <v>8</v>
      </c>
      <c r="B110" t="b">
        <v>0</v>
      </c>
      <c r="C110" t="b">
        <v>0</v>
      </c>
      <c r="D110" t="b">
        <v>1</v>
      </c>
    </row>
    <row r="111" spans="1:4">
      <c r="A111" s="1" t="s">
        <v>333</v>
      </c>
      <c r="B111" t="b">
        <v>0</v>
      </c>
      <c r="C111" t="b">
        <v>0</v>
      </c>
      <c r="D111" t="b">
        <v>1</v>
      </c>
    </row>
    <row r="112" spans="1:4">
      <c r="A112" s="1" t="s">
        <v>133</v>
      </c>
      <c r="B112" t="b">
        <v>0</v>
      </c>
      <c r="C112" t="b">
        <v>0</v>
      </c>
      <c r="D112" t="b">
        <v>1</v>
      </c>
    </row>
    <row r="113" spans="1:4">
      <c r="A113" s="1" t="s">
        <v>221</v>
      </c>
      <c r="B113" t="b">
        <v>0</v>
      </c>
      <c r="C113" t="b">
        <v>0</v>
      </c>
      <c r="D113" t="b">
        <v>1</v>
      </c>
    </row>
    <row r="114" spans="1:4">
      <c r="A114" s="1" t="s">
        <v>40</v>
      </c>
      <c r="B114" t="b">
        <v>0</v>
      </c>
      <c r="C114" t="b">
        <v>0</v>
      </c>
      <c r="D114" t="b">
        <v>1</v>
      </c>
    </row>
    <row r="115" spans="1:4">
      <c r="A115" s="1" t="s">
        <v>199</v>
      </c>
      <c r="B115" t="b">
        <v>0</v>
      </c>
      <c r="C115" t="b">
        <v>0</v>
      </c>
      <c r="D115" t="b">
        <v>1</v>
      </c>
    </row>
    <row r="116" spans="1:4">
      <c r="A116" s="1" t="s">
        <v>225</v>
      </c>
      <c r="B116" t="b">
        <v>0</v>
      </c>
      <c r="C116" t="b">
        <v>0</v>
      </c>
      <c r="D116" t="b">
        <v>1</v>
      </c>
    </row>
    <row r="117" spans="1:4">
      <c r="A117" s="1" t="s">
        <v>374</v>
      </c>
      <c r="B117" t="b">
        <v>0</v>
      </c>
      <c r="C117" t="b">
        <v>0</v>
      </c>
      <c r="D117" t="b">
        <v>1</v>
      </c>
    </row>
    <row r="118" spans="1:4">
      <c r="A118" s="1" t="s">
        <v>398</v>
      </c>
      <c r="B118" t="b">
        <v>0</v>
      </c>
      <c r="C118" t="b">
        <v>0</v>
      </c>
      <c r="D118" t="b">
        <v>1</v>
      </c>
    </row>
    <row r="119" spans="1:4">
      <c r="A119" s="1" t="s">
        <v>215</v>
      </c>
      <c r="B119" t="b">
        <v>0</v>
      </c>
      <c r="C119" t="b">
        <v>0</v>
      </c>
      <c r="D119" t="b">
        <v>1</v>
      </c>
    </row>
    <row r="120" spans="1:4">
      <c r="A120" s="1" t="s">
        <v>36</v>
      </c>
      <c r="B120" t="b">
        <v>0</v>
      </c>
      <c r="C120" t="b">
        <v>0</v>
      </c>
      <c r="D120" t="b">
        <v>1</v>
      </c>
    </row>
    <row r="121" spans="1:4">
      <c r="A121" s="1" t="s">
        <v>376</v>
      </c>
      <c r="B121" t="b">
        <v>0</v>
      </c>
      <c r="C121" t="b">
        <v>0</v>
      </c>
      <c r="D121" t="b">
        <v>1</v>
      </c>
    </row>
    <row r="122" spans="1:4">
      <c r="A122" s="1" t="s">
        <v>265</v>
      </c>
      <c r="B122" t="b">
        <v>0</v>
      </c>
      <c r="C122" t="b">
        <v>0</v>
      </c>
      <c r="D122" t="b">
        <v>1</v>
      </c>
    </row>
    <row r="123" spans="1:4">
      <c r="A123" s="1" t="s">
        <v>368</v>
      </c>
      <c r="B123" t="b">
        <v>0</v>
      </c>
      <c r="C123" t="b">
        <v>0</v>
      </c>
      <c r="D123" t="b">
        <v>1</v>
      </c>
    </row>
    <row r="124" spans="1:4">
      <c r="A124" s="1" t="s">
        <v>248</v>
      </c>
      <c r="B124" t="b">
        <v>0</v>
      </c>
      <c r="C124" t="b">
        <v>0</v>
      </c>
      <c r="D124" t="b">
        <v>1</v>
      </c>
    </row>
    <row r="125" spans="1:4">
      <c r="A125" s="1" t="s">
        <v>229</v>
      </c>
      <c r="B125" t="b">
        <v>0</v>
      </c>
      <c r="C125" t="b">
        <v>0</v>
      </c>
      <c r="D125" t="b">
        <v>1</v>
      </c>
    </row>
    <row r="126" spans="1:4">
      <c r="A126" s="1" t="s">
        <v>430</v>
      </c>
      <c r="B126" t="b">
        <v>0</v>
      </c>
      <c r="C126" t="b">
        <v>0</v>
      </c>
      <c r="D126" t="b">
        <v>1</v>
      </c>
    </row>
    <row r="127" spans="1:4">
      <c r="A127" s="1" t="s">
        <v>257</v>
      </c>
      <c r="B127" t="b">
        <v>0</v>
      </c>
      <c r="C127" t="b">
        <v>0</v>
      </c>
      <c r="D127" t="b">
        <v>1</v>
      </c>
    </row>
    <row r="128" spans="1:4">
      <c r="A128" s="1" t="s">
        <v>338</v>
      </c>
      <c r="B128" t="b">
        <v>0</v>
      </c>
      <c r="C128" t="b">
        <v>0</v>
      </c>
      <c r="D128" t="b">
        <v>1</v>
      </c>
    </row>
    <row r="129" spans="1:4">
      <c r="A129" s="1" t="s">
        <v>329</v>
      </c>
      <c r="B129" t="b">
        <v>0</v>
      </c>
      <c r="C129" t="b">
        <v>0</v>
      </c>
      <c r="D129" t="b">
        <v>1</v>
      </c>
    </row>
    <row r="130" spans="1:4">
      <c r="A130" s="1" t="s">
        <v>289</v>
      </c>
      <c r="B130" t="b">
        <v>0</v>
      </c>
      <c r="C130" t="b">
        <v>0</v>
      </c>
      <c r="D130" t="b">
        <v>1</v>
      </c>
    </row>
    <row r="131" spans="1:4">
      <c r="A131" s="1" t="s">
        <v>254</v>
      </c>
      <c r="B131" t="b">
        <v>0</v>
      </c>
      <c r="C131" t="b">
        <v>0</v>
      </c>
      <c r="D131" t="b">
        <v>1</v>
      </c>
    </row>
    <row r="132" spans="1:4">
      <c r="A132" s="1" t="s">
        <v>404</v>
      </c>
      <c r="B132" t="b">
        <v>0</v>
      </c>
      <c r="C132" t="b">
        <v>0</v>
      </c>
      <c r="D132" t="b">
        <v>1</v>
      </c>
    </row>
    <row r="133" spans="1:4">
      <c r="A133" s="1" t="s">
        <v>307</v>
      </c>
      <c r="B133" t="b">
        <v>0</v>
      </c>
      <c r="C133" t="b">
        <v>0</v>
      </c>
      <c r="D133" t="b">
        <v>1</v>
      </c>
    </row>
    <row r="134" spans="1:4">
      <c r="A134" s="1" t="s">
        <v>183</v>
      </c>
      <c r="B134" t="b">
        <v>0</v>
      </c>
      <c r="C134" t="b">
        <v>0</v>
      </c>
      <c r="D134" t="b">
        <v>1</v>
      </c>
    </row>
    <row r="135" spans="1:4">
      <c r="A135" s="1" t="s">
        <v>163</v>
      </c>
      <c r="B135" t="b">
        <v>0</v>
      </c>
      <c r="C135" t="b">
        <v>0</v>
      </c>
      <c r="D135" t="b">
        <v>1</v>
      </c>
    </row>
    <row r="136" spans="1:4">
      <c r="A136" s="1" t="s">
        <v>261</v>
      </c>
      <c r="B136" t="b">
        <v>0</v>
      </c>
      <c r="C136" t="b">
        <v>0</v>
      </c>
      <c r="D136" t="b">
        <v>1</v>
      </c>
    </row>
    <row r="137" spans="1:4">
      <c r="A137" s="1" t="s">
        <v>287</v>
      </c>
      <c r="B137" t="b">
        <v>0</v>
      </c>
      <c r="C137" t="b">
        <v>0</v>
      </c>
      <c r="D137" t="b">
        <v>1</v>
      </c>
    </row>
    <row r="138" spans="1:4">
      <c r="A138" s="1" t="s">
        <v>460</v>
      </c>
      <c r="B138" t="b">
        <v>0</v>
      </c>
      <c r="C138" t="b">
        <v>0</v>
      </c>
      <c r="D138" t="b">
        <v>1</v>
      </c>
    </row>
    <row r="139" spans="1:4">
      <c r="A139" s="1" t="s">
        <v>219</v>
      </c>
      <c r="B139" t="b">
        <v>0</v>
      </c>
      <c r="C139" t="b">
        <v>0</v>
      </c>
      <c r="D139" t="b">
        <v>1</v>
      </c>
    </row>
    <row r="140" spans="1:4">
      <c r="A140" s="1" t="s">
        <v>402</v>
      </c>
      <c r="B140" t="b">
        <v>0</v>
      </c>
      <c r="C140" t="b">
        <v>0</v>
      </c>
      <c r="D140" t="b">
        <v>1</v>
      </c>
    </row>
    <row r="141" spans="1:4">
      <c r="A141" s="1" t="s">
        <v>362</v>
      </c>
      <c r="B141" t="b">
        <v>0</v>
      </c>
      <c r="C141" t="b">
        <v>0</v>
      </c>
      <c r="D141" t="b">
        <v>1</v>
      </c>
    </row>
    <row r="142" spans="1:4">
      <c r="A142" s="1" t="s">
        <v>301</v>
      </c>
      <c r="B142" t="b">
        <v>0</v>
      </c>
      <c r="C142" t="b">
        <v>0</v>
      </c>
      <c r="D142" t="b">
        <v>1</v>
      </c>
    </row>
    <row r="143" spans="1:4">
      <c r="A143" s="1" t="s">
        <v>442</v>
      </c>
      <c r="B143" t="b">
        <v>0</v>
      </c>
      <c r="C143" t="b">
        <v>0</v>
      </c>
      <c r="D143" t="b">
        <v>1</v>
      </c>
    </row>
    <row r="144" spans="1:4">
      <c r="A144" s="1" t="s">
        <v>275</v>
      </c>
      <c r="B144" t="b">
        <v>0</v>
      </c>
      <c r="C144" t="b">
        <v>0</v>
      </c>
      <c r="D144" t="b">
        <v>1</v>
      </c>
    </row>
    <row r="145" spans="1:4">
      <c r="A145" s="1" t="s">
        <v>179</v>
      </c>
      <c r="B145" t="b">
        <v>0</v>
      </c>
      <c r="C145" t="b">
        <v>0</v>
      </c>
      <c r="D145" t="b">
        <v>1</v>
      </c>
    </row>
    <row r="146" spans="1:4">
      <c r="A146" s="1" t="s">
        <v>169</v>
      </c>
      <c r="B146" t="b">
        <v>0</v>
      </c>
      <c r="C146" t="b">
        <v>0</v>
      </c>
      <c r="D146" t="b">
        <v>1</v>
      </c>
    </row>
    <row r="147" spans="1:4">
      <c r="A147" s="1" t="s">
        <v>309</v>
      </c>
      <c r="B147" t="b">
        <v>0</v>
      </c>
      <c r="C147" t="b">
        <v>0</v>
      </c>
      <c r="D147" t="b">
        <v>1</v>
      </c>
    </row>
    <row r="148" spans="1:4">
      <c r="A148" s="1" t="s">
        <v>432</v>
      </c>
      <c r="B148" t="b">
        <v>0</v>
      </c>
      <c r="C148" t="b">
        <v>0</v>
      </c>
      <c r="D148" t="b">
        <v>1</v>
      </c>
    </row>
    <row r="149" spans="1:4">
      <c r="A149" s="1" t="s">
        <v>195</v>
      </c>
      <c r="B149" t="b">
        <v>0</v>
      </c>
      <c r="C149" t="b">
        <v>0</v>
      </c>
      <c r="D149" t="b">
        <v>1</v>
      </c>
    </row>
    <row r="150" spans="1:4">
      <c r="A150" s="1" t="s">
        <v>227</v>
      </c>
      <c r="B150" t="b">
        <v>0</v>
      </c>
      <c r="C150" t="b">
        <v>0</v>
      </c>
      <c r="D150" t="b">
        <v>1</v>
      </c>
    </row>
    <row r="151" spans="1:4">
      <c r="A151" s="1" t="s">
        <v>252</v>
      </c>
      <c r="B151" t="b">
        <v>0</v>
      </c>
      <c r="C151" t="b">
        <v>0</v>
      </c>
      <c r="D151" t="b">
        <v>1</v>
      </c>
    </row>
    <row r="152" spans="1:4">
      <c r="A152" s="1" t="s">
        <v>311</v>
      </c>
      <c r="B152" t="b">
        <v>0</v>
      </c>
      <c r="C152" t="b">
        <v>0</v>
      </c>
      <c r="D152" t="b">
        <v>1</v>
      </c>
    </row>
    <row r="153" spans="1:4">
      <c r="A153" s="1" t="s">
        <v>295</v>
      </c>
      <c r="B153" t="b">
        <v>0</v>
      </c>
      <c r="C153" t="b">
        <v>0</v>
      </c>
      <c r="D153" t="b">
        <v>1</v>
      </c>
    </row>
    <row r="154" spans="1:4">
      <c r="A154" s="1" t="s">
        <v>455</v>
      </c>
      <c r="B154" t="b">
        <v>0</v>
      </c>
      <c r="C154" t="b">
        <v>0</v>
      </c>
      <c r="D154" t="b">
        <v>1</v>
      </c>
    </row>
    <row r="155" spans="1:4">
      <c r="A155" s="1" t="s">
        <v>418</v>
      </c>
      <c r="B155" t="b">
        <v>0</v>
      </c>
      <c r="C155" t="b">
        <v>0</v>
      </c>
      <c r="D155" t="b">
        <v>1</v>
      </c>
    </row>
    <row r="156" spans="1:4">
      <c r="A156" s="1" t="s">
        <v>342</v>
      </c>
      <c r="B156" t="b">
        <v>0</v>
      </c>
      <c r="C156" t="b">
        <v>0</v>
      </c>
      <c r="D156" t="b">
        <v>1</v>
      </c>
    </row>
    <row r="157" spans="1:4">
      <c r="A157" s="1" t="s">
        <v>422</v>
      </c>
      <c r="B157" t="b">
        <v>0</v>
      </c>
      <c r="C157" t="b">
        <v>0</v>
      </c>
      <c r="D157" t="b">
        <v>1</v>
      </c>
    </row>
    <row r="158" spans="1:4">
      <c r="A158" s="1" t="s">
        <v>207</v>
      </c>
      <c r="B158" t="b">
        <v>0</v>
      </c>
      <c r="C158" t="b">
        <v>0</v>
      </c>
      <c r="D158" t="b">
        <v>1</v>
      </c>
    </row>
    <row r="159" spans="1:4">
      <c r="A159" s="1" t="s">
        <v>231</v>
      </c>
      <c r="B159" t="b">
        <v>0</v>
      </c>
      <c r="C159" t="b">
        <v>0</v>
      </c>
      <c r="D159" t="b">
        <v>1</v>
      </c>
    </row>
    <row r="160" spans="1:4">
      <c r="A160" s="1" t="s">
        <v>244</v>
      </c>
      <c r="B160" t="b">
        <v>0</v>
      </c>
      <c r="C160" t="b">
        <v>0</v>
      </c>
      <c r="D160" t="b">
        <v>1</v>
      </c>
    </row>
    <row r="161" spans="1:4">
      <c r="A161" s="1" t="s">
        <v>344</v>
      </c>
      <c r="B161" t="b">
        <v>0</v>
      </c>
      <c r="C161" t="b">
        <v>0</v>
      </c>
      <c r="D161" t="b">
        <v>1</v>
      </c>
    </row>
    <row r="162" spans="1:4">
      <c r="A162" s="1" t="s">
        <v>187</v>
      </c>
      <c r="B162" t="b">
        <v>0</v>
      </c>
      <c r="C162" t="b">
        <v>0</v>
      </c>
      <c r="D162" t="b">
        <v>1</v>
      </c>
    </row>
    <row r="163" spans="1:4">
      <c r="A163" s="1" t="s">
        <v>125</v>
      </c>
      <c r="B163" t="b">
        <v>0</v>
      </c>
      <c r="C163" t="b">
        <v>0</v>
      </c>
      <c r="D163" t="b">
        <v>1</v>
      </c>
    </row>
    <row r="164" spans="1:4">
      <c r="A164" s="1" t="s">
        <v>450</v>
      </c>
      <c r="B164" t="b">
        <v>0</v>
      </c>
      <c r="C164" t="b">
        <v>0</v>
      </c>
      <c r="D164" t="b">
        <v>1</v>
      </c>
    </row>
    <row r="165" spans="1:4">
      <c r="A165" s="1" t="s">
        <v>269</v>
      </c>
      <c r="B165" t="b">
        <v>0</v>
      </c>
      <c r="C165" t="b">
        <v>0</v>
      </c>
      <c r="D165" t="b">
        <v>1</v>
      </c>
    </row>
    <row r="166" spans="1:4">
      <c r="A166" s="1" t="s">
        <v>315</v>
      </c>
      <c r="B166" t="b">
        <v>0</v>
      </c>
      <c r="C166" t="b">
        <v>0</v>
      </c>
      <c r="D166" t="b">
        <v>1</v>
      </c>
    </row>
    <row r="167" spans="1:4">
      <c r="A167" s="1" t="s">
        <v>271</v>
      </c>
      <c r="B167" t="b">
        <v>0</v>
      </c>
      <c r="C167" t="b">
        <v>0</v>
      </c>
      <c r="D167" t="b">
        <v>1</v>
      </c>
    </row>
    <row r="168" spans="1:4">
      <c r="A168" s="1" t="s">
        <v>189</v>
      </c>
      <c r="B168" t="b">
        <v>0</v>
      </c>
      <c r="C168" t="b">
        <v>0</v>
      </c>
      <c r="D168" t="b">
        <v>1</v>
      </c>
    </row>
    <row r="169" spans="1:4">
      <c r="A169" s="1" t="s">
        <v>173</v>
      </c>
      <c r="B169" t="b">
        <v>0</v>
      </c>
      <c r="C169" t="b">
        <v>0</v>
      </c>
      <c r="D169" t="b">
        <v>1</v>
      </c>
    </row>
    <row r="170" spans="1:4">
      <c r="A170" s="1" t="s">
        <v>414</v>
      </c>
      <c r="B170" t="b">
        <v>0</v>
      </c>
      <c r="C170" t="b">
        <v>0</v>
      </c>
      <c r="D170" t="b">
        <v>1</v>
      </c>
    </row>
    <row r="171" spans="1:4">
      <c r="A171" s="1" t="s">
        <v>259</v>
      </c>
      <c r="B171" t="b">
        <v>0</v>
      </c>
      <c r="C171" t="b">
        <v>0</v>
      </c>
      <c r="D171" t="b">
        <v>1</v>
      </c>
    </row>
    <row r="172" spans="1:4">
      <c r="A172" s="1" t="s">
        <v>293</v>
      </c>
      <c r="B172" t="b">
        <v>0</v>
      </c>
      <c r="C172" t="b">
        <v>0</v>
      </c>
      <c r="D172" t="b">
        <v>1</v>
      </c>
    </row>
    <row r="173" spans="1:4">
      <c r="A173" s="1" t="s">
        <v>246</v>
      </c>
      <c r="B173" t="b">
        <v>0</v>
      </c>
      <c r="C173" t="b">
        <v>0</v>
      </c>
      <c r="D173" t="b">
        <v>1</v>
      </c>
    </row>
    <row r="174" spans="1:4">
      <c r="A174" s="1" t="s">
        <v>406</v>
      </c>
      <c r="B174" t="b">
        <v>0</v>
      </c>
      <c r="C174" t="b">
        <v>0</v>
      </c>
      <c r="D174" t="b">
        <v>1</v>
      </c>
    </row>
    <row r="175" spans="1:4">
      <c r="A175" s="1" t="s">
        <v>283</v>
      </c>
      <c r="B175" t="b">
        <v>0</v>
      </c>
      <c r="C175" t="b">
        <v>0</v>
      </c>
      <c r="D175" t="b">
        <v>1</v>
      </c>
    </row>
    <row r="176" spans="1:4">
      <c r="A176" s="1" t="s">
        <v>165</v>
      </c>
      <c r="B176" t="b">
        <v>0</v>
      </c>
      <c r="C176" t="b">
        <v>0</v>
      </c>
      <c r="D176" t="b">
        <v>1</v>
      </c>
    </row>
    <row r="177" spans="1:4">
      <c r="A177" s="1" t="s">
        <v>277</v>
      </c>
      <c r="B177" t="b">
        <v>0</v>
      </c>
      <c r="C177" t="b">
        <v>0</v>
      </c>
      <c r="D177" t="b">
        <v>1</v>
      </c>
    </row>
    <row r="178" spans="1:4">
      <c r="A178" s="1" t="s">
        <v>385</v>
      </c>
      <c r="B178" t="b">
        <v>0</v>
      </c>
      <c r="C178" t="b">
        <v>0</v>
      </c>
      <c r="D178" t="b">
        <v>1</v>
      </c>
    </row>
    <row r="179" spans="1:4">
      <c r="A179" s="1" t="s">
        <v>113</v>
      </c>
      <c r="B179" t="b">
        <v>0</v>
      </c>
      <c r="C179" t="b">
        <v>0</v>
      </c>
      <c r="D179" t="b">
        <v>1</v>
      </c>
    </row>
    <row r="180" spans="1:4">
      <c r="A180" s="1" t="s">
        <v>323</v>
      </c>
      <c r="B180" t="b">
        <v>0</v>
      </c>
      <c r="C180" t="b">
        <v>0</v>
      </c>
      <c r="D180" t="b">
        <v>1</v>
      </c>
    </row>
    <row r="181" spans="1:4">
      <c r="A181" s="1" t="s">
        <v>426</v>
      </c>
      <c r="B181" t="b">
        <v>0</v>
      </c>
      <c r="C181" t="b">
        <v>0</v>
      </c>
      <c r="D181" t="b">
        <v>1</v>
      </c>
    </row>
    <row r="182" spans="1:4">
      <c r="A182" s="1" t="s">
        <v>400</v>
      </c>
      <c r="B182" t="b">
        <v>0</v>
      </c>
      <c r="C182" t="b">
        <v>0</v>
      </c>
      <c r="D182" t="b">
        <v>1</v>
      </c>
    </row>
    <row r="183" spans="1:4">
      <c r="A183" s="1" t="s">
        <v>446</v>
      </c>
      <c r="B183" t="b">
        <v>0</v>
      </c>
      <c r="C183" t="b">
        <v>0</v>
      </c>
      <c r="D183" t="b">
        <v>1</v>
      </c>
    </row>
    <row r="184" spans="1:4">
      <c r="A184" s="1" t="s">
        <v>434</v>
      </c>
      <c r="B184" t="b">
        <v>0</v>
      </c>
      <c r="C184" t="b">
        <v>0</v>
      </c>
      <c r="D184" t="b">
        <v>1</v>
      </c>
    </row>
    <row r="185" spans="1:4">
      <c r="A185" s="1" t="s">
        <v>364</v>
      </c>
      <c r="B185" t="b">
        <v>0</v>
      </c>
      <c r="C185" t="b">
        <v>0</v>
      </c>
      <c r="D185" t="b">
        <v>1</v>
      </c>
    </row>
    <row r="186" spans="1:4">
      <c r="A186" s="1" t="s">
        <v>167</v>
      </c>
      <c r="B186" t="b">
        <v>0</v>
      </c>
      <c r="C186" t="b">
        <v>0</v>
      </c>
      <c r="D186" t="b">
        <v>1</v>
      </c>
    </row>
    <row r="187" spans="1:4">
      <c r="A187" s="1" t="s">
        <v>223</v>
      </c>
      <c r="B187" t="b">
        <v>0</v>
      </c>
      <c r="C187" t="b">
        <v>0</v>
      </c>
      <c r="D187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7"/>
  <sheetViews>
    <sheetView workbookViewId="0"/>
  </sheetViews>
  <sheetFormatPr defaultColWidth="14.42578125" defaultRowHeight="15"/>
  <cols>
    <col min="1" max="1" width="52.85546875" bestFit="1" customWidth="1"/>
    <col min="2" max="2" width="14.7109375" bestFit="1" customWidth="1"/>
    <col min="3" max="3" width="16" bestFit="1" customWidth="1"/>
    <col min="4" max="4" width="15.140625" bestFit="1" customWidth="1"/>
    <col min="5" max="5" width="18.7109375" bestFit="1" customWidth="1"/>
    <col min="6" max="6" width="18.5703125" bestFit="1" customWidth="1"/>
    <col min="7" max="7" width="25.140625" bestFit="1" customWidth="1"/>
    <col min="8" max="16384" width="14.42578125" style="11"/>
  </cols>
  <sheetData>
    <row r="1" spans="1:7" s="10" customFormat="1">
      <c r="A1" s="7" t="s">
        <v>548</v>
      </c>
      <c r="B1" s="7" t="s">
        <v>493</v>
      </c>
      <c r="C1" s="7" t="s">
        <v>492</v>
      </c>
      <c r="D1" s="7" t="s">
        <v>491</v>
      </c>
      <c r="E1" s="7" t="s">
        <v>490</v>
      </c>
      <c r="F1" s="7" t="s">
        <v>489</v>
      </c>
      <c r="G1" s="7" t="s">
        <v>544</v>
      </c>
    </row>
    <row r="2" spans="1:7">
      <c r="A2" s="1" t="s">
        <v>127</v>
      </c>
      <c r="B2" t="s">
        <v>483</v>
      </c>
      <c r="C2" t="s">
        <v>482</v>
      </c>
      <c r="D2" t="s">
        <v>481</v>
      </c>
      <c r="E2" t="s">
        <v>480</v>
      </c>
      <c r="F2" t="s">
        <v>479</v>
      </c>
      <c r="G2" t="s">
        <v>545</v>
      </c>
    </row>
    <row r="3" spans="1:7">
      <c r="A3" s="1" t="s">
        <v>279</v>
      </c>
      <c r="B3" t="s">
        <v>483</v>
      </c>
      <c r="C3" t="s">
        <v>482</v>
      </c>
      <c r="D3" t="s">
        <v>481</v>
      </c>
      <c r="E3" t="s">
        <v>480</v>
      </c>
      <c r="F3" t="s">
        <v>479</v>
      </c>
      <c r="G3" t="s">
        <v>545</v>
      </c>
    </row>
    <row r="4" spans="1:7">
      <c r="A4" s="1" t="s">
        <v>378</v>
      </c>
      <c r="B4" t="s">
        <v>483</v>
      </c>
      <c r="C4" t="s">
        <v>482</v>
      </c>
      <c r="D4" t="s">
        <v>481</v>
      </c>
      <c r="E4" t="s">
        <v>480</v>
      </c>
      <c r="F4" t="s">
        <v>479</v>
      </c>
      <c r="G4" t="s">
        <v>545</v>
      </c>
    </row>
    <row r="5" spans="1:7">
      <c r="A5" s="2" t="s">
        <v>440</v>
      </c>
      <c r="B5" t="s">
        <v>483</v>
      </c>
      <c r="C5" t="s">
        <v>482</v>
      </c>
      <c r="D5" t="s">
        <v>481</v>
      </c>
      <c r="E5" t="s">
        <v>480</v>
      </c>
      <c r="F5" t="s">
        <v>479</v>
      </c>
      <c r="G5" t="s">
        <v>545</v>
      </c>
    </row>
    <row r="6" spans="1:7">
      <c r="A6" s="2" t="s">
        <v>24</v>
      </c>
      <c r="B6" t="s">
        <v>483</v>
      </c>
      <c r="C6" t="s">
        <v>482</v>
      </c>
      <c r="D6" t="s">
        <v>481</v>
      </c>
      <c r="E6" t="s">
        <v>480</v>
      </c>
      <c r="F6" t="s">
        <v>479</v>
      </c>
      <c r="G6" t="s">
        <v>545</v>
      </c>
    </row>
    <row r="7" spans="1:7">
      <c r="A7" s="1" t="s">
        <v>305</v>
      </c>
      <c r="B7" t="s">
        <v>483</v>
      </c>
      <c r="C7" t="s">
        <v>482</v>
      </c>
      <c r="D7" t="s">
        <v>481</v>
      </c>
      <c r="E7" t="s">
        <v>480</v>
      </c>
      <c r="F7" t="s">
        <v>479</v>
      </c>
      <c r="G7" t="s">
        <v>545</v>
      </c>
    </row>
    <row r="8" spans="1:7">
      <c r="A8" s="1" t="s">
        <v>267</v>
      </c>
      <c r="B8" t="s">
        <v>483</v>
      </c>
      <c r="C8" t="s">
        <v>482</v>
      </c>
      <c r="D8" t="s">
        <v>481</v>
      </c>
      <c r="E8" t="s">
        <v>480</v>
      </c>
      <c r="F8" t="s">
        <v>479</v>
      </c>
      <c r="G8" t="s">
        <v>545</v>
      </c>
    </row>
    <row r="9" spans="1:7">
      <c r="A9" s="1" t="s">
        <v>356</v>
      </c>
      <c r="B9" t="s">
        <v>483</v>
      </c>
      <c r="C9" t="s">
        <v>488</v>
      </c>
      <c r="D9" t="s">
        <v>481</v>
      </c>
      <c r="E9" t="s">
        <v>480</v>
      </c>
      <c r="F9" t="s">
        <v>479</v>
      </c>
      <c r="G9" t="s">
        <v>545</v>
      </c>
    </row>
    <row r="10" spans="1:7">
      <c r="A10" s="1" t="s">
        <v>197</v>
      </c>
      <c r="B10" t="s">
        <v>483</v>
      </c>
      <c r="C10" t="s">
        <v>488</v>
      </c>
      <c r="D10" t="s">
        <v>481</v>
      </c>
      <c r="E10" t="s">
        <v>480</v>
      </c>
      <c r="F10" t="s">
        <v>479</v>
      </c>
      <c r="G10" t="s">
        <v>545</v>
      </c>
    </row>
    <row r="11" spans="1:7">
      <c r="A11" s="1" t="s">
        <v>209</v>
      </c>
      <c r="B11" t="s">
        <v>483</v>
      </c>
      <c r="C11" t="s">
        <v>482</v>
      </c>
      <c r="D11" t="s">
        <v>481</v>
      </c>
      <c r="E11" t="s">
        <v>480</v>
      </c>
      <c r="F11" t="s">
        <v>479</v>
      </c>
      <c r="G11" t="s">
        <v>545</v>
      </c>
    </row>
    <row r="12" spans="1:7">
      <c r="A12" s="1" t="s">
        <v>38</v>
      </c>
      <c r="B12" t="s">
        <v>483</v>
      </c>
      <c r="C12" t="s">
        <v>488</v>
      </c>
      <c r="D12" t="s">
        <v>481</v>
      </c>
      <c r="E12" t="s">
        <v>480</v>
      </c>
      <c r="F12" t="s">
        <v>479</v>
      </c>
      <c r="G12" t="s">
        <v>545</v>
      </c>
    </row>
    <row r="13" spans="1:7">
      <c r="A13" s="1" t="s">
        <v>371</v>
      </c>
      <c r="B13" t="s">
        <v>483</v>
      </c>
      <c r="C13" t="s">
        <v>488</v>
      </c>
      <c r="D13" t="s">
        <v>481</v>
      </c>
      <c r="E13" t="s">
        <v>480</v>
      </c>
      <c r="F13" t="s">
        <v>479</v>
      </c>
      <c r="G13" t="s">
        <v>545</v>
      </c>
    </row>
    <row r="14" spans="1:7">
      <c r="A14" s="1" t="s">
        <v>436</v>
      </c>
      <c r="B14" t="s">
        <v>483</v>
      </c>
      <c r="C14" t="s">
        <v>482</v>
      </c>
      <c r="D14" t="s">
        <v>481</v>
      </c>
      <c r="E14" t="s">
        <v>480</v>
      </c>
      <c r="F14" t="s">
        <v>479</v>
      </c>
      <c r="G14" t="s">
        <v>545</v>
      </c>
    </row>
    <row r="15" spans="1:7">
      <c r="A15" s="1" t="s">
        <v>457</v>
      </c>
      <c r="B15" t="s">
        <v>483</v>
      </c>
      <c r="C15" t="s">
        <v>482</v>
      </c>
      <c r="D15" t="s">
        <v>481</v>
      </c>
      <c r="E15" t="s">
        <v>480</v>
      </c>
      <c r="F15" t="s">
        <v>479</v>
      </c>
      <c r="G15" t="s">
        <v>545</v>
      </c>
    </row>
    <row r="16" spans="1:7">
      <c r="A16" s="1" t="s">
        <v>291</v>
      </c>
      <c r="B16" t="s">
        <v>483</v>
      </c>
      <c r="C16" t="s">
        <v>482</v>
      </c>
      <c r="D16" t="s">
        <v>481</v>
      </c>
      <c r="E16" t="s">
        <v>480</v>
      </c>
      <c r="F16" t="s">
        <v>479</v>
      </c>
      <c r="G16" t="s">
        <v>545</v>
      </c>
    </row>
    <row r="17" spans="1:7">
      <c r="A17" s="1" t="s">
        <v>32</v>
      </c>
      <c r="B17" t="s">
        <v>483</v>
      </c>
      <c r="C17" t="s">
        <v>482</v>
      </c>
      <c r="D17" t="s">
        <v>481</v>
      </c>
      <c r="E17" t="s">
        <v>480</v>
      </c>
      <c r="F17" t="s">
        <v>479</v>
      </c>
      <c r="G17" t="s">
        <v>545</v>
      </c>
    </row>
    <row r="18" spans="1:7">
      <c r="A18" s="1" t="s">
        <v>395</v>
      </c>
      <c r="B18" t="s">
        <v>483</v>
      </c>
      <c r="C18" t="s">
        <v>482</v>
      </c>
      <c r="D18" t="s">
        <v>481</v>
      </c>
      <c r="E18" t="s">
        <v>480</v>
      </c>
      <c r="F18" t="s">
        <v>479</v>
      </c>
      <c r="G18" t="s">
        <v>545</v>
      </c>
    </row>
    <row r="19" spans="1:7">
      <c r="A19" s="1" t="s">
        <v>142</v>
      </c>
      <c r="B19" t="s">
        <v>483</v>
      </c>
      <c r="C19" t="s">
        <v>488</v>
      </c>
      <c r="D19" t="s">
        <v>481</v>
      </c>
      <c r="E19" t="s">
        <v>480</v>
      </c>
      <c r="F19" t="s">
        <v>479</v>
      </c>
      <c r="G19" t="s">
        <v>545</v>
      </c>
    </row>
    <row r="20" spans="1:7">
      <c r="A20" s="1" t="s">
        <v>331</v>
      </c>
      <c r="B20" t="s">
        <v>483</v>
      </c>
      <c r="C20" t="s">
        <v>488</v>
      </c>
      <c r="D20" t="s">
        <v>481</v>
      </c>
      <c r="E20" t="s">
        <v>480</v>
      </c>
      <c r="F20" t="s">
        <v>479</v>
      </c>
      <c r="G20" t="s">
        <v>545</v>
      </c>
    </row>
    <row r="21" spans="1:7">
      <c r="A21" s="1" t="s">
        <v>382</v>
      </c>
      <c r="B21" t="s">
        <v>483</v>
      </c>
      <c r="C21" t="s">
        <v>482</v>
      </c>
      <c r="D21" t="s">
        <v>481</v>
      </c>
      <c r="E21" t="s">
        <v>480</v>
      </c>
      <c r="F21" t="s">
        <v>479</v>
      </c>
      <c r="G21" t="s">
        <v>545</v>
      </c>
    </row>
    <row r="22" spans="1:7">
      <c r="A22" s="1" t="s">
        <v>18</v>
      </c>
      <c r="B22" t="s">
        <v>483</v>
      </c>
      <c r="C22" t="s">
        <v>482</v>
      </c>
      <c r="D22" t="s">
        <v>481</v>
      </c>
      <c r="E22" t="s">
        <v>480</v>
      </c>
      <c r="F22" t="s">
        <v>479</v>
      </c>
      <c r="G22" t="s">
        <v>545</v>
      </c>
    </row>
    <row r="23" spans="1:7">
      <c r="A23" s="1" t="s">
        <v>299</v>
      </c>
      <c r="B23" t="s">
        <v>483</v>
      </c>
      <c r="C23" t="s">
        <v>482</v>
      </c>
      <c r="D23" t="s">
        <v>481</v>
      </c>
      <c r="E23" t="s">
        <v>480</v>
      </c>
      <c r="F23" t="s">
        <v>479</v>
      </c>
      <c r="G23" t="s">
        <v>545</v>
      </c>
    </row>
    <row r="24" spans="1:7">
      <c r="A24" s="1" t="s">
        <v>30</v>
      </c>
      <c r="B24" t="s">
        <v>483</v>
      </c>
      <c r="C24" t="s">
        <v>482</v>
      </c>
      <c r="D24" t="s">
        <v>481</v>
      </c>
      <c r="E24" t="s">
        <v>480</v>
      </c>
      <c r="F24" t="s">
        <v>479</v>
      </c>
      <c r="G24" t="s">
        <v>545</v>
      </c>
    </row>
    <row r="25" spans="1:7">
      <c r="A25" s="1" t="s">
        <v>424</v>
      </c>
      <c r="B25" t="s">
        <v>483</v>
      </c>
      <c r="C25" t="s">
        <v>482</v>
      </c>
      <c r="D25" t="s">
        <v>481</v>
      </c>
      <c r="E25" t="s">
        <v>480</v>
      </c>
      <c r="F25" t="s">
        <v>479</v>
      </c>
      <c r="G25" t="s">
        <v>545</v>
      </c>
    </row>
    <row r="26" spans="1:7">
      <c r="A26" s="1" t="s">
        <v>340</v>
      </c>
      <c r="B26" t="s">
        <v>483</v>
      </c>
      <c r="C26" t="s">
        <v>482</v>
      </c>
      <c r="D26" t="s">
        <v>481</v>
      </c>
      <c r="E26" t="s">
        <v>480</v>
      </c>
      <c r="F26" t="s">
        <v>479</v>
      </c>
      <c r="G26" t="s">
        <v>545</v>
      </c>
    </row>
    <row r="27" spans="1:7">
      <c r="A27" s="1" t="s">
        <v>121</v>
      </c>
      <c r="B27" t="s">
        <v>483</v>
      </c>
      <c r="C27" t="s">
        <v>482</v>
      </c>
      <c r="D27" t="s">
        <v>481</v>
      </c>
      <c r="E27" t="s">
        <v>480</v>
      </c>
      <c r="F27" t="s">
        <v>479</v>
      </c>
      <c r="G27" t="s">
        <v>545</v>
      </c>
    </row>
    <row r="28" spans="1:7">
      <c r="A28" s="1" t="s">
        <v>28</v>
      </c>
      <c r="B28" t="s">
        <v>483</v>
      </c>
      <c r="C28" t="s">
        <v>482</v>
      </c>
      <c r="D28" t="s">
        <v>481</v>
      </c>
      <c r="E28" t="s">
        <v>480</v>
      </c>
      <c r="F28" t="s">
        <v>479</v>
      </c>
      <c r="G28" t="s">
        <v>545</v>
      </c>
    </row>
    <row r="29" spans="1:7">
      <c r="A29" s="1" t="s">
        <v>119</v>
      </c>
      <c r="B29" t="s">
        <v>483</v>
      </c>
      <c r="C29" t="s">
        <v>482</v>
      </c>
      <c r="D29" t="s">
        <v>481</v>
      </c>
      <c r="E29" t="s">
        <v>480</v>
      </c>
      <c r="F29" t="s">
        <v>479</v>
      </c>
      <c r="G29" t="s">
        <v>545</v>
      </c>
    </row>
    <row r="30" spans="1:7">
      <c r="A30" s="1" t="s">
        <v>181</v>
      </c>
      <c r="B30" t="s">
        <v>483</v>
      </c>
      <c r="C30" t="s">
        <v>482</v>
      </c>
      <c r="D30" t="s">
        <v>481</v>
      </c>
      <c r="E30" t="s">
        <v>480</v>
      </c>
      <c r="F30" t="s">
        <v>479</v>
      </c>
      <c r="G30" t="s">
        <v>545</v>
      </c>
    </row>
    <row r="31" spans="1:7">
      <c r="A31" s="1" t="s">
        <v>26</v>
      </c>
      <c r="B31" t="s">
        <v>483</v>
      </c>
      <c r="C31" t="s">
        <v>482</v>
      </c>
      <c r="D31" t="s">
        <v>481</v>
      </c>
      <c r="E31" t="s">
        <v>480</v>
      </c>
      <c r="F31" t="s">
        <v>479</v>
      </c>
      <c r="G31" t="s">
        <v>545</v>
      </c>
    </row>
    <row r="32" spans="1:7">
      <c r="A32" s="1" t="s">
        <v>135</v>
      </c>
      <c r="B32" t="s">
        <v>483</v>
      </c>
      <c r="C32" t="s">
        <v>482</v>
      </c>
      <c r="D32" t="s">
        <v>481</v>
      </c>
      <c r="E32" t="s">
        <v>480</v>
      </c>
      <c r="F32" t="s">
        <v>479</v>
      </c>
      <c r="G32" t="s">
        <v>545</v>
      </c>
    </row>
    <row r="33" spans="1:7">
      <c r="A33" s="1" t="s">
        <v>193</v>
      </c>
      <c r="B33" t="s">
        <v>483</v>
      </c>
      <c r="C33" t="s">
        <v>482</v>
      </c>
      <c r="D33" t="s">
        <v>481</v>
      </c>
      <c r="E33" t="s">
        <v>480</v>
      </c>
      <c r="F33" t="s">
        <v>479</v>
      </c>
      <c r="G33" t="s">
        <v>545</v>
      </c>
    </row>
    <row r="34" spans="1:7">
      <c r="A34" s="1" t="s">
        <v>358</v>
      </c>
      <c r="B34" t="s">
        <v>483</v>
      </c>
      <c r="C34" t="s">
        <v>482</v>
      </c>
      <c r="D34" t="s">
        <v>481</v>
      </c>
      <c r="E34" t="s">
        <v>480</v>
      </c>
      <c r="F34" t="s">
        <v>479</v>
      </c>
      <c r="G34" t="s">
        <v>545</v>
      </c>
    </row>
    <row r="35" spans="1:7">
      <c r="A35" s="1" t="s">
        <v>327</v>
      </c>
      <c r="B35" t="s">
        <v>483</v>
      </c>
      <c r="C35" t="s">
        <v>482</v>
      </c>
      <c r="D35" t="s">
        <v>481</v>
      </c>
      <c r="E35" t="s">
        <v>480</v>
      </c>
      <c r="F35" t="s">
        <v>479</v>
      </c>
      <c r="G35" t="s">
        <v>545</v>
      </c>
    </row>
    <row r="36" spans="1:7">
      <c r="A36" s="1" t="s">
        <v>34</v>
      </c>
      <c r="B36" t="s">
        <v>483</v>
      </c>
      <c r="C36" t="s">
        <v>488</v>
      </c>
      <c r="D36" t="s">
        <v>481</v>
      </c>
      <c r="E36" t="s">
        <v>480</v>
      </c>
      <c r="F36" t="s">
        <v>479</v>
      </c>
      <c r="G36" t="s">
        <v>545</v>
      </c>
    </row>
    <row r="37" spans="1:7">
      <c r="A37" s="1" t="s">
        <v>6</v>
      </c>
      <c r="B37" t="s">
        <v>483</v>
      </c>
      <c r="C37" s="2" t="s">
        <v>484</v>
      </c>
      <c r="D37" t="s">
        <v>481</v>
      </c>
      <c r="E37" t="s">
        <v>480</v>
      </c>
      <c r="F37" t="s">
        <v>479</v>
      </c>
      <c r="G37" t="s">
        <v>545</v>
      </c>
    </row>
    <row r="38" spans="1:7">
      <c r="A38" s="1" t="s">
        <v>217</v>
      </c>
      <c r="B38" t="s">
        <v>483</v>
      </c>
      <c r="C38" s="2" t="s">
        <v>484</v>
      </c>
      <c r="D38" t="s">
        <v>481</v>
      </c>
      <c r="E38" t="s">
        <v>480</v>
      </c>
      <c r="F38" t="s">
        <v>479</v>
      </c>
      <c r="G38" t="s">
        <v>545</v>
      </c>
    </row>
    <row r="39" spans="1:7">
      <c r="A39" s="1" t="s">
        <v>42</v>
      </c>
      <c r="B39" t="s">
        <v>483</v>
      </c>
      <c r="C39" s="2" t="s">
        <v>484</v>
      </c>
      <c r="D39" t="s">
        <v>481</v>
      </c>
      <c r="E39" t="s">
        <v>480</v>
      </c>
      <c r="F39" t="s">
        <v>479</v>
      </c>
      <c r="G39" t="s">
        <v>545</v>
      </c>
    </row>
    <row r="40" spans="1:7">
      <c r="A40" s="1" t="s">
        <v>297</v>
      </c>
      <c r="B40" t="s">
        <v>483</v>
      </c>
      <c r="C40" s="2" t="s">
        <v>484</v>
      </c>
      <c r="D40" t="s">
        <v>481</v>
      </c>
      <c r="E40" t="s">
        <v>480</v>
      </c>
      <c r="F40" t="s">
        <v>479</v>
      </c>
      <c r="G40" t="s">
        <v>545</v>
      </c>
    </row>
    <row r="41" spans="1:7">
      <c r="A41" s="1" t="s">
        <v>281</v>
      </c>
      <c r="B41" t="s">
        <v>483</v>
      </c>
      <c r="C41" s="2" t="s">
        <v>484</v>
      </c>
      <c r="D41" t="s">
        <v>481</v>
      </c>
      <c r="E41" t="s">
        <v>480</v>
      </c>
      <c r="F41" t="s">
        <v>479</v>
      </c>
      <c r="G41" t="s">
        <v>545</v>
      </c>
    </row>
    <row r="42" spans="1:7">
      <c r="A42" s="1" t="s">
        <v>410</v>
      </c>
      <c r="B42" t="s">
        <v>483</v>
      </c>
      <c r="C42" s="2" t="s">
        <v>484</v>
      </c>
      <c r="D42" t="s">
        <v>481</v>
      </c>
      <c r="E42" t="s">
        <v>480</v>
      </c>
      <c r="F42" t="s">
        <v>479</v>
      </c>
      <c r="G42" t="s">
        <v>545</v>
      </c>
    </row>
    <row r="43" spans="1:7">
      <c r="A43" s="1" t="s">
        <v>152</v>
      </c>
      <c r="B43" t="s">
        <v>483</v>
      </c>
      <c r="C43" s="2" t="s">
        <v>484</v>
      </c>
      <c r="D43" t="s">
        <v>481</v>
      </c>
      <c r="E43" t="s">
        <v>480</v>
      </c>
      <c r="F43" t="s">
        <v>479</v>
      </c>
      <c r="G43" t="s">
        <v>545</v>
      </c>
    </row>
    <row r="44" spans="1:7">
      <c r="A44" s="1" t="s">
        <v>346</v>
      </c>
      <c r="B44" t="s">
        <v>483</v>
      </c>
      <c r="C44" s="2" t="s">
        <v>484</v>
      </c>
      <c r="D44" t="s">
        <v>481</v>
      </c>
      <c r="E44" t="s">
        <v>480</v>
      </c>
      <c r="F44" t="s">
        <v>479</v>
      </c>
      <c r="G44" t="s">
        <v>545</v>
      </c>
    </row>
    <row r="45" spans="1:7">
      <c r="A45" s="1" t="s">
        <v>171</v>
      </c>
      <c r="B45" t="s">
        <v>483</v>
      </c>
      <c r="C45" s="2" t="s">
        <v>484</v>
      </c>
      <c r="D45" t="s">
        <v>481</v>
      </c>
      <c r="E45" t="s">
        <v>480</v>
      </c>
      <c r="F45" t="s">
        <v>479</v>
      </c>
      <c r="G45" t="s">
        <v>545</v>
      </c>
    </row>
    <row r="46" spans="1:7">
      <c r="A46" s="1" t="s">
        <v>12</v>
      </c>
      <c r="B46" t="s">
        <v>483</v>
      </c>
      <c r="C46" t="s">
        <v>488</v>
      </c>
      <c r="D46" t="s">
        <v>481</v>
      </c>
      <c r="E46" t="s">
        <v>480</v>
      </c>
      <c r="F46" t="s">
        <v>479</v>
      </c>
      <c r="G46" t="s">
        <v>545</v>
      </c>
    </row>
    <row r="47" spans="1:7">
      <c r="A47" s="1" t="s">
        <v>319</v>
      </c>
      <c r="B47" t="s">
        <v>483</v>
      </c>
      <c r="C47" s="2" t="s">
        <v>484</v>
      </c>
      <c r="D47" t="s">
        <v>481</v>
      </c>
      <c r="E47" t="s">
        <v>480</v>
      </c>
      <c r="F47" t="s">
        <v>479</v>
      </c>
      <c r="G47" t="s">
        <v>545</v>
      </c>
    </row>
    <row r="48" spans="1:7">
      <c r="A48" s="1" t="s">
        <v>211</v>
      </c>
      <c r="B48" t="s">
        <v>483</v>
      </c>
      <c r="C48" s="2" t="s">
        <v>484</v>
      </c>
      <c r="D48" t="s">
        <v>481</v>
      </c>
      <c r="E48" t="s">
        <v>480</v>
      </c>
      <c r="F48" t="s">
        <v>479</v>
      </c>
      <c r="G48" t="s">
        <v>545</v>
      </c>
    </row>
    <row r="49" spans="1:7">
      <c r="A49" s="1" t="s">
        <v>185</v>
      </c>
      <c r="B49" t="s">
        <v>483</v>
      </c>
      <c r="C49" s="2" t="s">
        <v>484</v>
      </c>
      <c r="D49" t="s">
        <v>481</v>
      </c>
      <c r="E49" t="s">
        <v>480</v>
      </c>
      <c r="F49" t="s">
        <v>479</v>
      </c>
      <c r="G49" t="s">
        <v>545</v>
      </c>
    </row>
    <row r="50" spans="1:7">
      <c r="A50" s="1" t="s">
        <v>444</v>
      </c>
      <c r="B50" t="s">
        <v>483</v>
      </c>
      <c r="C50" s="2" t="s">
        <v>484</v>
      </c>
      <c r="D50" t="s">
        <v>481</v>
      </c>
      <c r="E50" t="s">
        <v>480</v>
      </c>
      <c r="F50" t="s">
        <v>479</v>
      </c>
      <c r="G50" t="s">
        <v>545</v>
      </c>
    </row>
    <row r="51" spans="1:7">
      <c r="A51" s="1" t="s">
        <v>16</v>
      </c>
      <c r="B51" t="s">
        <v>483</v>
      </c>
      <c r="C51" t="s">
        <v>488</v>
      </c>
      <c r="D51" t="s">
        <v>481</v>
      </c>
      <c r="E51" t="s">
        <v>480</v>
      </c>
      <c r="F51" t="s">
        <v>479</v>
      </c>
      <c r="G51" t="s">
        <v>545</v>
      </c>
    </row>
    <row r="52" spans="1:7">
      <c r="A52" s="1" t="s">
        <v>201</v>
      </c>
      <c r="B52" t="s">
        <v>483</v>
      </c>
      <c r="C52" t="s">
        <v>488</v>
      </c>
      <c r="D52" t="s">
        <v>481</v>
      </c>
      <c r="E52" t="s">
        <v>480</v>
      </c>
      <c r="F52" t="s">
        <v>479</v>
      </c>
      <c r="G52" t="s">
        <v>545</v>
      </c>
    </row>
    <row r="53" spans="1:7">
      <c r="A53" s="1" t="s">
        <v>428</v>
      </c>
      <c r="B53" t="s">
        <v>483</v>
      </c>
      <c r="C53" t="s">
        <v>488</v>
      </c>
      <c r="D53" t="s">
        <v>481</v>
      </c>
      <c r="E53" t="s">
        <v>480</v>
      </c>
      <c r="F53" t="s">
        <v>479</v>
      </c>
      <c r="G53" t="s">
        <v>545</v>
      </c>
    </row>
    <row r="54" spans="1:7">
      <c r="A54" s="1" t="s">
        <v>448</v>
      </c>
      <c r="B54" t="s">
        <v>483</v>
      </c>
      <c r="C54" t="s">
        <v>488</v>
      </c>
      <c r="D54" t="s">
        <v>481</v>
      </c>
      <c r="E54" t="s">
        <v>480</v>
      </c>
      <c r="F54" t="s">
        <v>479</v>
      </c>
      <c r="G54" t="s">
        <v>545</v>
      </c>
    </row>
    <row r="55" spans="1:7">
      <c r="A55" s="1" t="s">
        <v>158</v>
      </c>
      <c r="B55" t="s">
        <v>483</v>
      </c>
      <c r="C55" t="s">
        <v>488</v>
      </c>
      <c r="D55" t="s">
        <v>481</v>
      </c>
      <c r="E55" t="s">
        <v>480</v>
      </c>
      <c r="F55" t="s">
        <v>479</v>
      </c>
      <c r="G55" t="s">
        <v>545</v>
      </c>
    </row>
    <row r="56" spans="1:7">
      <c r="A56" s="1" t="s">
        <v>273</v>
      </c>
      <c r="B56" t="s">
        <v>483</v>
      </c>
      <c r="C56" s="2" t="s">
        <v>484</v>
      </c>
      <c r="D56" t="s">
        <v>481</v>
      </c>
      <c r="E56" t="s">
        <v>480</v>
      </c>
      <c r="F56" t="s">
        <v>479</v>
      </c>
      <c r="G56" t="s">
        <v>545</v>
      </c>
    </row>
    <row r="57" spans="1:7">
      <c r="A57" s="1" t="s">
        <v>242</v>
      </c>
      <c r="B57" t="s">
        <v>483</v>
      </c>
      <c r="C57" s="2" t="s">
        <v>484</v>
      </c>
      <c r="D57" t="s">
        <v>481</v>
      </c>
      <c r="E57" t="s">
        <v>480</v>
      </c>
      <c r="F57" t="s">
        <v>479</v>
      </c>
      <c r="G57" t="s">
        <v>545</v>
      </c>
    </row>
    <row r="58" spans="1:7">
      <c r="A58" s="2" t="s">
        <v>20</v>
      </c>
      <c r="B58" t="s">
        <v>483</v>
      </c>
      <c r="C58" t="s">
        <v>488</v>
      </c>
      <c r="D58" t="s">
        <v>481</v>
      </c>
      <c r="E58" t="s">
        <v>480</v>
      </c>
      <c r="F58" t="s">
        <v>479</v>
      </c>
      <c r="G58" t="s">
        <v>545</v>
      </c>
    </row>
    <row r="59" spans="1:7">
      <c r="A59" s="2" t="s">
        <v>148</v>
      </c>
      <c r="B59" t="s">
        <v>483</v>
      </c>
      <c r="C59" t="s">
        <v>482</v>
      </c>
      <c r="D59" t="s">
        <v>481</v>
      </c>
      <c r="E59" t="s">
        <v>480</v>
      </c>
      <c r="F59" t="s">
        <v>479</v>
      </c>
      <c r="G59" t="s">
        <v>545</v>
      </c>
    </row>
    <row r="60" spans="1:7">
      <c r="A60" s="1" t="s">
        <v>250</v>
      </c>
      <c r="B60" t="s">
        <v>483</v>
      </c>
      <c r="C60" t="s">
        <v>486</v>
      </c>
      <c r="D60" t="s">
        <v>481</v>
      </c>
      <c r="E60" t="s">
        <v>480</v>
      </c>
      <c r="F60" t="s">
        <v>479</v>
      </c>
      <c r="G60" t="s">
        <v>545</v>
      </c>
    </row>
    <row r="61" spans="1:7">
      <c r="A61" s="1" t="s">
        <v>366</v>
      </c>
      <c r="B61" t="s">
        <v>483</v>
      </c>
      <c r="C61" t="s">
        <v>486</v>
      </c>
      <c r="D61" t="s">
        <v>481</v>
      </c>
      <c r="E61" t="s">
        <v>480</v>
      </c>
      <c r="F61" t="s">
        <v>479</v>
      </c>
      <c r="G61" t="s">
        <v>545</v>
      </c>
    </row>
    <row r="62" spans="1:7">
      <c r="A62" s="1" t="s">
        <v>233</v>
      </c>
      <c r="B62" t="s">
        <v>483</v>
      </c>
      <c r="C62" s="2" t="s">
        <v>484</v>
      </c>
      <c r="D62" t="s">
        <v>481</v>
      </c>
      <c r="E62" t="s">
        <v>480</v>
      </c>
      <c r="F62" t="s">
        <v>479</v>
      </c>
      <c r="G62" t="s">
        <v>545</v>
      </c>
    </row>
    <row r="63" spans="1:7">
      <c r="A63" s="1" t="s">
        <v>156</v>
      </c>
      <c r="B63" t="s">
        <v>483</v>
      </c>
      <c r="C63" s="2" t="s">
        <v>484</v>
      </c>
      <c r="D63" t="s">
        <v>481</v>
      </c>
      <c r="E63" t="s">
        <v>480</v>
      </c>
      <c r="F63" t="s">
        <v>479</v>
      </c>
      <c r="G63" t="s">
        <v>545</v>
      </c>
    </row>
    <row r="64" spans="1:7">
      <c r="A64" s="1" t="s">
        <v>463</v>
      </c>
      <c r="B64" t="s">
        <v>483</v>
      </c>
      <c r="C64" t="s">
        <v>486</v>
      </c>
      <c r="D64" t="s">
        <v>481</v>
      </c>
      <c r="E64" t="s">
        <v>480</v>
      </c>
      <c r="F64" t="s">
        <v>479</v>
      </c>
      <c r="G64" t="s">
        <v>545</v>
      </c>
    </row>
    <row r="65" spans="1:7">
      <c r="A65" s="1" t="s">
        <v>420</v>
      </c>
      <c r="B65" t="s">
        <v>483</v>
      </c>
      <c r="C65" t="s">
        <v>486</v>
      </c>
      <c r="D65" t="s">
        <v>481</v>
      </c>
      <c r="E65" t="s">
        <v>480</v>
      </c>
      <c r="F65" t="s">
        <v>479</v>
      </c>
      <c r="G65" t="s">
        <v>545</v>
      </c>
    </row>
    <row r="66" spans="1:7">
      <c r="A66" s="1" t="s">
        <v>1</v>
      </c>
      <c r="B66" t="s">
        <v>483</v>
      </c>
      <c r="C66" t="s">
        <v>486</v>
      </c>
      <c r="D66" t="s">
        <v>481</v>
      </c>
      <c r="E66" t="s">
        <v>480</v>
      </c>
      <c r="F66" t="s">
        <v>479</v>
      </c>
      <c r="G66" t="s">
        <v>545</v>
      </c>
    </row>
    <row r="67" spans="1:7">
      <c r="A67" s="1" t="s">
        <v>10</v>
      </c>
      <c r="B67" t="s">
        <v>483</v>
      </c>
      <c r="C67" t="s">
        <v>486</v>
      </c>
      <c r="D67" t="s">
        <v>481</v>
      </c>
      <c r="E67" t="s">
        <v>480</v>
      </c>
      <c r="F67" t="s">
        <v>479</v>
      </c>
      <c r="G67" t="s">
        <v>545</v>
      </c>
    </row>
    <row r="68" spans="1:7">
      <c r="A68" s="1" t="s">
        <v>321</v>
      </c>
      <c r="B68" t="s">
        <v>483</v>
      </c>
      <c r="C68" s="2" t="s">
        <v>487</v>
      </c>
      <c r="D68" t="s">
        <v>481</v>
      </c>
      <c r="E68" t="s">
        <v>480</v>
      </c>
      <c r="F68" t="s">
        <v>479</v>
      </c>
      <c r="G68" t="s">
        <v>545</v>
      </c>
    </row>
    <row r="69" spans="1:7">
      <c r="A69" s="1" t="s">
        <v>285</v>
      </c>
      <c r="B69" t="s">
        <v>483</v>
      </c>
      <c r="C69" s="2" t="s">
        <v>487</v>
      </c>
      <c r="D69" t="s">
        <v>481</v>
      </c>
      <c r="E69" t="s">
        <v>480</v>
      </c>
      <c r="F69" t="s">
        <v>479</v>
      </c>
      <c r="G69" t="s">
        <v>545</v>
      </c>
    </row>
    <row r="70" spans="1:7">
      <c r="A70" s="1" t="s">
        <v>350</v>
      </c>
      <c r="B70" t="s">
        <v>483</v>
      </c>
      <c r="C70" t="s">
        <v>486</v>
      </c>
      <c r="D70" t="s">
        <v>481</v>
      </c>
      <c r="E70" t="s">
        <v>480</v>
      </c>
      <c r="F70" t="s">
        <v>479</v>
      </c>
      <c r="G70" t="s">
        <v>545</v>
      </c>
    </row>
    <row r="71" spans="1:7">
      <c r="A71" s="1" t="s">
        <v>14</v>
      </c>
      <c r="B71" t="s">
        <v>483</v>
      </c>
      <c r="C71" t="s">
        <v>486</v>
      </c>
      <c r="D71" t="s">
        <v>481</v>
      </c>
      <c r="E71" t="s">
        <v>480</v>
      </c>
      <c r="F71" t="s">
        <v>479</v>
      </c>
      <c r="G71" t="s">
        <v>545</v>
      </c>
    </row>
    <row r="72" spans="1:7">
      <c r="A72" s="1" t="s">
        <v>240</v>
      </c>
      <c r="B72" t="s">
        <v>483</v>
      </c>
      <c r="C72" t="s">
        <v>486</v>
      </c>
      <c r="D72" t="s">
        <v>481</v>
      </c>
      <c r="E72" t="s">
        <v>480</v>
      </c>
      <c r="F72" t="s">
        <v>479</v>
      </c>
      <c r="G72" t="s">
        <v>545</v>
      </c>
    </row>
    <row r="73" spans="1:7">
      <c r="A73" s="1" t="s">
        <v>325</v>
      </c>
      <c r="B73" t="s">
        <v>483</v>
      </c>
      <c r="C73" t="s">
        <v>486</v>
      </c>
      <c r="D73" t="s">
        <v>481</v>
      </c>
      <c r="E73" t="s">
        <v>480</v>
      </c>
      <c r="F73" t="s">
        <v>479</v>
      </c>
      <c r="G73" t="s">
        <v>545</v>
      </c>
    </row>
    <row r="74" spans="1:7">
      <c r="A74" s="1" t="s">
        <v>263</v>
      </c>
      <c r="B74" t="s">
        <v>483</v>
      </c>
      <c r="C74" t="s">
        <v>486</v>
      </c>
      <c r="D74" t="s">
        <v>481</v>
      </c>
      <c r="E74" t="s">
        <v>480</v>
      </c>
      <c r="F74" t="s">
        <v>479</v>
      </c>
      <c r="G74" t="s">
        <v>545</v>
      </c>
    </row>
    <row r="75" spans="1:7">
      <c r="A75" s="1" t="s">
        <v>317</v>
      </c>
      <c r="B75" t="s">
        <v>483</v>
      </c>
      <c r="C75" t="s">
        <v>486</v>
      </c>
      <c r="D75" t="s">
        <v>481</v>
      </c>
      <c r="E75" t="s">
        <v>480</v>
      </c>
      <c r="F75" t="s">
        <v>479</v>
      </c>
      <c r="G75" t="s">
        <v>545</v>
      </c>
    </row>
    <row r="76" spans="1:7">
      <c r="A76" s="1" t="s">
        <v>438</v>
      </c>
      <c r="B76" t="s">
        <v>483</v>
      </c>
      <c r="C76" t="s">
        <v>486</v>
      </c>
      <c r="D76" t="s">
        <v>481</v>
      </c>
      <c r="E76" t="s">
        <v>480</v>
      </c>
      <c r="F76" t="s">
        <v>479</v>
      </c>
      <c r="G76" t="s">
        <v>545</v>
      </c>
    </row>
    <row r="77" spans="1:7">
      <c r="A77" s="1" t="s">
        <v>393</v>
      </c>
      <c r="B77" t="s">
        <v>483</v>
      </c>
      <c r="C77" t="s">
        <v>486</v>
      </c>
      <c r="D77" t="s">
        <v>481</v>
      </c>
      <c r="E77" t="s">
        <v>480</v>
      </c>
      <c r="F77" t="s">
        <v>479</v>
      </c>
      <c r="G77" t="s">
        <v>545</v>
      </c>
    </row>
    <row r="78" spans="1:7">
      <c r="A78" s="1" t="s">
        <v>335</v>
      </c>
      <c r="B78" t="s">
        <v>483</v>
      </c>
      <c r="C78" t="s">
        <v>486</v>
      </c>
      <c r="D78" t="s">
        <v>481</v>
      </c>
      <c r="E78" t="s">
        <v>480</v>
      </c>
      <c r="F78" t="s">
        <v>479</v>
      </c>
      <c r="G78" t="s">
        <v>545</v>
      </c>
    </row>
    <row r="79" spans="1:7">
      <c r="A79" s="1" t="s">
        <v>115</v>
      </c>
      <c r="B79" t="s">
        <v>483</v>
      </c>
      <c r="C79" t="s">
        <v>486</v>
      </c>
      <c r="D79" t="s">
        <v>481</v>
      </c>
      <c r="E79" t="s">
        <v>480</v>
      </c>
      <c r="F79" t="s">
        <v>479</v>
      </c>
      <c r="G79" t="s">
        <v>545</v>
      </c>
    </row>
    <row r="80" spans="1:7">
      <c r="A80" s="1" t="s">
        <v>22</v>
      </c>
      <c r="B80" t="s">
        <v>483</v>
      </c>
      <c r="C80" t="s">
        <v>482</v>
      </c>
      <c r="D80" t="s">
        <v>481</v>
      </c>
      <c r="E80" t="s">
        <v>480</v>
      </c>
      <c r="F80" t="s">
        <v>479</v>
      </c>
      <c r="G80" t="s">
        <v>545</v>
      </c>
    </row>
    <row r="81" spans="1:7">
      <c r="A81" s="1" t="s">
        <v>389</v>
      </c>
      <c r="B81" t="s">
        <v>483</v>
      </c>
      <c r="C81" s="2" t="s">
        <v>487</v>
      </c>
      <c r="D81" t="s">
        <v>481</v>
      </c>
      <c r="E81" t="s">
        <v>480</v>
      </c>
      <c r="F81" t="s">
        <v>479</v>
      </c>
      <c r="G81" t="s">
        <v>545</v>
      </c>
    </row>
    <row r="82" spans="1:7">
      <c r="A82" s="1" t="s">
        <v>213</v>
      </c>
      <c r="B82" t="s">
        <v>483</v>
      </c>
      <c r="C82" s="2" t="s">
        <v>487</v>
      </c>
      <c r="D82" t="s">
        <v>481</v>
      </c>
      <c r="E82" t="s">
        <v>480</v>
      </c>
      <c r="F82" t="s">
        <v>479</v>
      </c>
      <c r="G82" t="s">
        <v>545</v>
      </c>
    </row>
    <row r="83" spans="1:7">
      <c r="A83" s="1" t="s">
        <v>123</v>
      </c>
      <c r="B83" t="s">
        <v>483</v>
      </c>
      <c r="C83" s="2" t="s">
        <v>487</v>
      </c>
      <c r="D83" t="s">
        <v>481</v>
      </c>
      <c r="E83" t="s">
        <v>480</v>
      </c>
      <c r="F83" t="s">
        <v>479</v>
      </c>
      <c r="G83" t="s">
        <v>545</v>
      </c>
    </row>
    <row r="84" spans="1:7">
      <c r="A84" s="1" t="s">
        <v>146</v>
      </c>
      <c r="B84" t="s">
        <v>483</v>
      </c>
      <c r="C84" s="2" t="s">
        <v>487</v>
      </c>
      <c r="D84" t="s">
        <v>481</v>
      </c>
      <c r="E84" t="s">
        <v>480</v>
      </c>
      <c r="F84" t="s">
        <v>479</v>
      </c>
      <c r="G84" t="s">
        <v>545</v>
      </c>
    </row>
    <row r="85" spans="1:7">
      <c r="A85" s="1" t="s">
        <v>131</v>
      </c>
      <c r="B85" t="s">
        <v>483</v>
      </c>
      <c r="C85" s="2" t="s">
        <v>487</v>
      </c>
      <c r="D85" t="s">
        <v>481</v>
      </c>
      <c r="E85" t="s">
        <v>480</v>
      </c>
      <c r="F85" t="s">
        <v>479</v>
      </c>
      <c r="G85" t="s">
        <v>545</v>
      </c>
    </row>
    <row r="86" spans="1:7">
      <c r="A86" s="1" t="s">
        <v>235</v>
      </c>
      <c r="B86" t="s">
        <v>483</v>
      </c>
      <c r="C86" s="2" t="s">
        <v>487</v>
      </c>
      <c r="D86" t="s">
        <v>481</v>
      </c>
      <c r="E86" t="s">
        <v>480</v>
      </c>
      <c r="F86" t="s">
        <v>479</v>
      </c>
      <c r="G86" t="s">
        <v>545</v>
      </c>
    </row>
    <row r="87" spans="1:7">
      <c r="A87" s="1" t="s">
        <v>412</v>
      </c>
      <c r="B87" t="s">
        <v>483</v>
      </c>
      <c r="C87" s="2" t="s">
        <v>487</v>
      </c>
      <c r="D87" t="s">
        <v>481</v>
      </c>
      <c r="E87" t="s">
        <v>480</v>
      </c>
      <c r="F87" t="s">
        <v>479</v>
      </c>
      <c r="G87" t="s">
        <v>545</v>
      </c>
    </row>
    <row r="88" spans="1:7">
      <c r="A88" s="1" t="s">
        <v>387</v>
      </c>
      <c r="B88" t="s">
        <v>483</v>
      </c>
      <c r="C88" s="2" t="s">
        <v>487</v>
      </c>
      <c r="D88" t="s">
        <v>481</v>
      </c>
      <c r="E88" t="s">
        <v>480</v>
      </c>
      <c r="F88" t="s">
        <v>479</v>
      </c>
      <c r="G88" t="s">
        <v>545</v>
      </c>
    </row>
    <row r="89" spans="1:7">
      <c r="A89" s="1" t="s">
        <v>144</v>
      </c>
      <c r="B89" t="s">
        <v>483</v>
      </c>
      <c r="C89" s="2" t="s">
        <v>487</v>
      </c>
      <c r="D89" t="s">
        <v>481</v>
      </c>
      <c r="E89" t="s">
        <v>480</v>
      </c>
      <c r="F89" t="s">
        <v>479</v>
      </c>
      <c r="G89" t="s">
        <v>545</v>
      </c>
    </row>
    <row r="90" spans="1:7">
      <c r="A90" s="1" t="s">
        <v>154</v>
      </c>
      <c r="B90" t="s">
        <v>483</v>
      </c>
      <c r="C90" s="2" t="s">
        <v>487</v>
      </c>
      <c r="D90" t="s">
        <v>481</v>
      </c>
      <c r="E90" t="s">
        <v>480</v>
      </c>
      <c r="F90" t="s">
        <v>479</v>
      </c>
      <c r="G90" t="s">
        <v>545</v>
      </c>
    </row>
    <row r="91" spans="1:7">
      <c r="A91" s="1" t="s">
        <v>3</v>
      </c>
      <c r="B91" t="s">
        <v>483</v>
      </c>
      <c r="C91" s="2" t="s">
        <v>487</v>
      </c>
      <c r="D91" t="s">
        <v>481</v>
      </c>
      <c r="E91" t="s">
        <v>480</v>
      </c>
      <c r="F91" t="s">
        <v>479</v>
      </c>
      <c r="G91" t="s">
        <v>545</v>
      </c>
    </row>
    <row r="92" spans="1:7">
      <c r="A92" s="1" t="s">
        <v>408</v>
      </c>
      <c r="B92" t="s">
        <v>483</v>
      </c>
      <c r="C92" s="2" t="s">
        <v>487</v>
      </c>
      <c r="D92" t="s">
        <v>481</v>
      </c>
      <c r="E92" t="s">
        <v>480</v>
      </c>
      <c r="F92" t="s">
        <v>479</v>
      </c>
      <c r="G92" t="s">
        <v>545</v>
      </c>
    </row>
    <row r="93" spans="1:7">
      <c r="A93" s="1" t="s">
        <v>129</v>
      </c>
      <c r="B93" t="s">
        <v>483</v>
      </c>
      <c r="C93" t="s">
        <v>488</v>
      </c>
      <c r="D93" t="s">
        <v>481</v>
      </c>
      <c r="E93" t="s">
        <v>480</v>
      </c>
      <c r="F93" t="s">
        <v>479</v>
      </c>
      <c r="G93" t="s">
        <v>545</v>
      </c>
    </row>
    <row r="94" spans="1:7">
      <c r="A94" s="1" t="s">
        <v>452</v>
      </c>
      <c r="B94" t="s">
        <v>483</v>
      </c>
      <c r="C94" t="s">
        <v>488</v>
      </c>
      <c r="D94" t="s">
        <v>481</v>
      </c>
      <c r="E94" t="s">
        <v>480</v>
      </c>
      <c r="F94" t="s">
        <v>479</v>
      </c>
      <c r="G94" t="s">
        <v>545</v>
      </c>
    </row>
    <row r="95" spans="1:7">
      <c r="A95" s="1" t="s">
        <v>303</v>
      </c>
      <c r="B95" t="s">
        <v>483</v>
      </c>
      <c r="C95" t="s">
        <v>488</v>
      </c>
      <c r="D95" t="s">
        <v>481</v>
      </c>
      <c r="E95" t="s">
        <v>480</v>
      </c>
      <c r="F95" t="s">
        <v>479</v>
      </c>
      <c r="G95" t="s">
        <v>545</v>
      </c>
    </row>
    <row r="96" spans="1:7">
      <c r="A96" s="1" t="s">
        <v>313</v>
      </c>
      <c r="B96" t="s">
        <v>483</v>
      </c>
      <c r="C96" t="s">
        <v>488</v>
      </c>
      <c r="D96" t="s">
        <v>481</v>
      </c>
      <c r="E96" t="s">
        <v>480</v>
      </c>
      <c r="F96" t="s">
        <v>479</v>
      </c>
      <c r="G96" t="s">
        <v>545</v>
      </c>
    </row>
    <row r="97" spans="1:7">
      <c r="A97" s="1" t="s">
        <v>205</v>
      </c>
      <c r="B97" t="s">
        <v>483</v>
      </c>
      <c r="C97" t="s">
        <v>488</v>
      </c>
      <c r="D97" t="s">
        <v>481</v>
      </c>
      <c r="E97" t="s">
        <v>480</v>
      </c>
      <c r="F97" t="s">
        <v>479</v>
      </c>
      <c r="G97" t="s">
        <v>545</v>
      </c>
    </row>
    <row r="98" spans="1:7">
      <c r="A98" s="1" t="s">
        <v>391</v>
      </c>
      <c r="B98" t="s">
        <v>483</v>
      </c>
      <c r="C98" t="s">
        <v>488</v>
      </c>
      <c r="D98" t="s">
        <v>481</v>
      </c>
      <c r="E98" t="s">
        <v>480</v>
      </c>
      <c r="F98" t="s">
        <v>479</v>
      </c>
      <c r="G98" t="s">
        <v>545</v>
      </c>
    </row>
    <row r="99" spans="1:7">
      <c r="A99" s="1" t="s">
        <v>160</v>
      </c>
      <c r="B99" t="s">
        <v>483</v>
      </c>
      <c r="C99" t="s">
        <v>488</v>
      </c>
      <c r="D99" t="s">
        <v>481</v>
      </c>
      <c r="E99" t="s">
        <v>480</v>
      </c>
      <c r="F99" t="s">
        <v>479</v>
      </c>
      <c r="G99" t="s">
        <v>545</v>
      </c>
    </row>
    <row r="100" spans="1:7">
      <c r="A100" s="1" t="s">
        <v>416</v>
      </c>
      <c r="B100" t="s">
        <v>483</v>
      </c>
      <c r="C100" t="s">
        <v>488</v>
      </c>
      <c r="D100" t="s">
        <v>481</v>
      </c>
      <c r="E100" t="s">
        <v>480</v>
      </c>
      <c r="F100" t="s">
        <v>479</v>
      </c>
      <c r="G100" t="s">
        <v>545</v>
      </c>
    </row>
    <row r="101" spans="1:7">
      <c r="A101" s="1" t="s">
        <v>352</v>
      </c>
      <c r="B101" t="s">
        <v>483</v>
      </c>
      <c r="C101" t="s">
        <v>488</v>
      </c>
      <c r="D101" t="s">
        <v>481</v>
      </c>
      <c r="E101" t="s">
        <v>480</v>
      </c>
      <c r="F101" t="s">
        <v>479</v>
      </c>
      <c r="G101" t="s">
        <v>545</v>
      </c>
    </row>
    <row r="102" spans="1:7">
      <c r="A102" s="1" t="s">
        <v>348</v>
      </c>
      <c r="B102" t="s">
        <v>483</v>
      </c>
      <c r="C102" t="s">
        <v>488</v>
      </c>
      <c r="D102" t="s">
        <v>481</v>
      </c>
      <c r="E102" t="s">
        <v>480</v>
      </c>
      <c r="F102" t="s">
        <v>479</v>
      </c>
      <c r="G102" t="s">
        <v>545</v>
      </c>
    </row>
    <row r="103" spans="1:7">
      <c r="A103" s="1" t="s">
        <v>191</v>
      </c>
      <c r="B103" t="s">
        <v>483</v>
      </c>
      <c r="C103" t="s">
        <v>488</v>
      </c>
      <c r="D103" t="s">
        <v>481</v>
      </c>
      <c r="E103" t="s">
        <v>480</v>
      </c>
      <c r="F103" t="s">
        <v>479</v>
      </c>
      <c r="G103" t="s">
        <v>545</v>
      </c>
    </row>
    <row r="104" spans="1:7">
      <c r="A104" s="1" t="s">
        <v>238</v>
      </c>
      <c r="B104" t="s">
        <v>483</v>
      </c>
      <c r="C104" t="s">
        <v>488</v>
      </c>
      <c r="D104" t="s">
        <v>481</v>
      </c>
      <c r="E104" t="s">
        <v>480</v>
      </c>
      <c r="F104" t="s">
        <v>479</v>
      </c>
      <c r="G104" t="s">
        <v>545</v>
      </c>
    </row>
    <row r="105" spans="1:7">
      <c r="A105" s="1" t="s">
        <v>177</v>
      </c>
      <c r="B105" t="s">
        <v>483</v>
      </c>
      <c r="C105" t="s">
        <v>487</v>
      </c>
      <c r="D105" t="s">
        <v>481</v>
      </c>
      <c r="E105" t="s">
        <v>480</v>
      </c>
      <c r="F105" t="s">
        <v>479</v>
      </c>
      <c r="G105" t="s">
        <v>545</v>
      </c>
    </row>
    <row r="106" spans="1:7">
      <c r="A106" s="1" t="s">
        <v>175</v>
      </c>
      <c r="B106" t="s">
        <v>483</v>
      </c>
      <c r="C106" t="s">
        <v>487</v>
      </c>
      <c r="D106" t="s">
        <v>481</v>
      </c>
      <c r="E106" t="s">
        <v>480</v>
      </c>
      <c r="F106" t="s">
        <v>479</v>
      </c>
      <c r="G106" t="s">
        <v>545</v>
      </c>
    </row>
    <row r="107" spans="1:7">
      <c r="A107" s="1" t="s">
        <v>117</v>
      </c>
      <c r="B107" t="s">
        <v>483</v>
      </c>
      <c r="C107" t="s">
        <v>487</v>
      </c>
      <c r="D107" t="s">
        <v>481</v>
      </c>
      <c r="E107" t="s">
        <v>480</v>
      </c>
      <c r="F107" t="s">
        <v>479</v>
      </c>
      <c r="G107" t="s">
        <v>545</v>
      </c>
    </row>
    <row r="108" spans="1:7">
      <c r="A108" s="1" t="s">
        <v>203</v>
      </c>
      <c r="B108" t="s">
        <v>483</v>
      </c>
      <c r="C108" t="s">
        <v>487</v>
      </c>
      <c r="D108" t="s">
        <v>481</v>
      </c>
      <c r="E108" t="s">
        <v>480</v>
      </c>
      <c r="F108" t="s">
        <v>479</v>
      </c>
      <c r="G108" t="s">
        <v>545</v>
      </c>
    </row>
    <row r="109" spans="1:7">
      <c r="A109" s="1" t="s">
        <v>150</v>
      </c>
      <c r="B109" t="s">
        <v>483</v>
      </c>
      <c r="C109" t="s">
        <v>487</v>
      </c>
      <c r="D109" t="s">
        <v>481</v>
      </c>
      <c r="E109" t="s">
        <v>480</v>
      </c>
      <c r="F109" t="s">
        <v>479</v>
      </c>
      <c r="G109" t="s">
        <v>545</v>
      </c>
    </row>
    <row r="110" spans="1:7">
      <c r="A110" s="1" t="s">
        <v>8</v>
      </c>
      <c r="B110" t="s">
        <v>483</v>
      </c>
      <c r="C110" t="s">
        <v>487</v>
      </c>
      <c r="D110" t="s">
        <v>481</v>
      </c>
      <c r="E110" t="s">
        <v>480</v>
      </c>
      <c r="F110" t="s">
        <v>479</v>
      </c>
      <c r="G110" t="s">
        <v>545</v>
      </c>
    </row>
    <row r="111" spans="1:7">
      <c r="A111" s="1" t="s">
        <v>333</v>
      </c>
      <c r="B111" t="s">
        <v>483</v>
      </c>
      <c r="C111" t="s">
        <v>487</v>
      </c>
      <c r="D111" t="s">
        <v>481</v>
      </c>
      <c r="E111" t="s">
        <v>480</v>
      </c>
      <c r="F111" t="s">
        <v>479</v>
      </c>
      <c r="G111" t="s">
        <v>545</v>
      </c>
    </row>
    <row r="112" spans="1:7">
      <c r="A112" s="1" t="s">
        <v>133</v>
      </c>
      <c r="B112" t="s">
        <v>483</v>
      </c>
      <c r="C112" t="s">
        <v>487</v>
      </c>
      <c r="D112" t="s">
        <v>481</v>
      </c>
      <c r="E112" t="s">
        <v>480</v>
      </c>
      <c r="F112" t="s">
        <v>479</v>
      </c>
      <c r="G112" t="s">
        <v>545</v>
      </c>
    </row>
    <row r="113" spans="1:7">
      <c r="A113" s="1" t="s">
        <v>221</v>
      </c>
      <c r="B113" t="s">
        <v>483</v>
      </c>
      <c r="C113" t="s">
        <v>487</v>
      </c>
      <c r="D113" t="s">
        <v>481</v>
      </c>
      <c r="E113" t="s">
        <v>480</v>
      </c>
      <c r="F113" t="s">
        <v>479</v>
      </c>
      <c r="G113" t="s">
        <v>545</v>
      </c>
    </row>
    <row r="114" spans="1:7">
      <c r="A114" s="1" t="s">
        <v>40</v>
      </c>
      <c r="B114" t="s">
        <v>483</v>
      </c>
      <c r="C114" t="s">
        <v>487</v>
      </c>
      <c r="D114" t="s">
        <v>481</v>
      </c>
      <c r="E114" t="s">
        <v>480</v>
      </c>
      <c r="F114" t="s">
        <v>479</v>
      </c>
      <c r="G114" t="s">
        <v>545</v>
      </c>
    </row>
    <row r="115" spans="1:7">
      <c r="A115" s="1" t="s">
        <v>199</v>
      </c>
      <c r="B115" t="s">
        <v>483</v>
      </c>
      <c r="C115" t="s">
        <v>487</v>
      </c>
      <c r="D115" t="s">
        <v>481</v>
      </c>
      <c r="E115" t="s">
        <v>480</v>
      </c>
      <c r="F115" t="s">
        <v>479</v>
      </c>
      <c r="G115" t="s">
        <v>545</v>
      </c>
    </row>
    <row r="116" spans="1:7">
      <c r="A116" s="1" t="s">
        <v>225</v>
      </c>
      <c r="B116" t="s">
        <v>483</v>
      </c>
      <c r="C116" t="s">
        <v>487</v>
      </c>
      <c r="D116" t="s">
        <v>481</v>
      </c>
      <c r="E116" t="s">
        <v>480</v>
      </c>
      <c r="F116" t="s">
        <v>479</v>
      </c>
      <c r="G116" t="s">
        <v>545</v>
      </c>
    </row>
    <row r="117" spans="1:7">
      <c r="A117" s="1" t="s">
        <v>374</v>
      </c>
      <c r="B117" t="s">
        <v>483</v>
      </c>
      <c r="C117" t="s">
        <v>487</v>
      </c>
      <c r="D117" t="s">
        <v>481</v>
      </c>
      <c r="E117" t="s">
        <v>480</v>
      </c>
      <c r="F117" t="s">
        <v>479</v>
      </c>
      <c r="G117" t="s">
        <v>545</v>
      </c>
    </row>
    <row r="118" spans="1:7">
      <c r="A118" s="1" t="s">
        <v>398</v>
      </c>
      <c r="B118" t="s">
        <v>483</v>
      </c>
      <c r="C118" t="s">
        <v>487</v>
      </c>
      <c r="D118" t="s">
        <v>481</v>
      </c>
      <c r="E118" t="s">
        <v>480</v>
      </c>
      <c r="F118" t="s">
        <v>479</v>
      </c>
      <c r="G118" t="s">
        <v>545</v>
      </c>
    </row>
    <row r="119" spans="1:7">
      <c r="A119" s="1" t="s">
        <v>215</v>
      </c>
      <c r="B119" t="s">
        <v>483</v>
      </c>
      <c r="C119" t="s">
        <v>487</v>
      </c>
      <c r="D119" t="s">
        <v>481</v>
      </c>
      <c r="E119" t="s">
        <v>480</v>
      </c>
      <c r="F119" t="s">
        <v>479</v>
      </c>
      <c r="G119" t="s">
        <v>545</v>
      </c>
    </row>
    <row r="120" spans="1:7">
      <c r="A120" s="1" t="s">
        <v>36</v>
      </c>
      <c r="B120" t="s">
        <v>483</v>
      </c>
      <c r="C120" t="s">
        <v>487</v>
      </c>
      <c r="D120" t="s">
        <v>481</v>
      </c>
      <c r="E120" t="s">
        <v>480</v>
      </c>
      <c r="F120" t="s">
        <v>479</v>
      </c>
      <c r="G120" t="s">
        <v>545</v>
      </c>
    </row>
    <row r="121" spans="1:7">
      <c r="A121" s="1" t="s">
        <v>376</v>
      </c>
      <c r="B121" t="s">
        <v>483</v>
      </c>
      <c r="C121" t="s">
        <v>487</v>
      </c>
      <c r="D121" t="s">
        <v>481</v>
      </c>
      <c r="E121" t="s">
        <v>480</v>
      </c>
      <c r="F121" t="s">
        <v>479</v>
      </c>
      <c r="G121" t="s">
        <v>545</v>
      </c>
    </row>
    <row r="122" spans="1:7">
      <c r="A122" s="1" t="s">
        <v>265</v>
      </c>
      <c r="B122" t="s">
        <v>483</v>
      </c>
      <c r="C122" t="s">
        <v>487</v>
      </c>
      <c r="D122" t="s">
        <v>481</v>
      </c>
      <c r="E122" t="s">
        <v>480</v>
      </c>
      <c r="F122" t="s">
        <v>479</v>
      </c>
      <c r="G122" t="s">
        <v>545</v>
      </c>
    </row>
    <row r="123" spans="1:7">
      <c r="A123" s="1" t="s">
        <v>368</v>
      </c>
      <c r="B123" t="s">
        <v>483</v>
      </c>
      <c r="C123" t="s">
        <v>487</v>
      </c>
      <c r="D123" t="s">
        <v>481</v>
      </c>
      <c r="E123" t="s">
        <v>480</v>
      </c>
      <c r="F123" t="s">
        <v>479</v>
      </c>
      <c r="G123" t="s">
        <v>545</v>
      </c>
    </row>
    <row r="124" spans="1:7">
      <c r="A124" s="1" t="s">
        <v>248</v>
      </c>
      <c r="B124" t="s">
        <v>483</v>
      </c>
      <c r="C124" t="s">
        <v>487</v>
      </c>
      <c r="D124" t="s">
        <v>481</v>
      </c>
      <c r="E124" t="s">
        <v>480</v>
      </c>
      <c r="F124" t="s">
        <v>479</v>
      </c>
      <c r="G124" t="s">
        <v>545</v>
      </c>
    </row>
    <row r="125" spans="1:7">
      <c r="A125" s="1" t="s">
        <v>229</v>
      </c>
      <c r="B125" t="s">
        <v>483</v>
      </c>
      <c r="C125" t="s">
        <v>487</v>
      </c>
      <c r="D125" t="s">
        <v>481</v>
      </c>
      <c r="E125" t="s">
        <v>480</v>
      </c>
      <c r="F125" t="s">
        <v>479</v>
      </c>
      <c r="G125" t="s">
        <v>545</v>
      </c>
    </row>
    <row r="126" spans="1:7">
      <c r="A126" s="1" t="s">
        <v>430</v>
      </c>
      <c r="B126" t="s">
        <v>483</v>
      </c>
      <c r="C126" t="s">
        <v>487</v>
      </c>
      <c r="D126" t="s">
        <v>481</v>
      </c>
      <c r="E126" t="s">
        <v>480</v>
      </c>
      <c r="F126" t="s">
        <v>479</v>
      </c>
      <c r="G126" t="s">
        <v>545</v>
      </c>
    </row>
    <row r="127" spans="1:7">
      <c r="A127" s="1" t="s">
        <v>257</v>
      </c>
      <c r="B127" t="s">
        <v>483</v>
      </c>
      <c r="C127" t="s">
        <v>487</v>
      </c>
      <c r="D127" t="s">
        <v>481</v>
      </c>
      <c r="E127" t="s">
        <v>480</v>
      </c>
      <c r="F127" t="s">
        <v>479</v>
      </c>
      <c r="G127" t="s">
        <v>545</v>
      </c>
    </row>
    <row r="128" spans="1:7">
      <c r="A128" s="1" t="s">
        <v>338</v>
      </c>
      <c r="B128" t="s">
        <v>483</v>
      </c>
      <c r="C128" t="s">
        <v>487</v>
      </c>
      <c r="D128" t="s">
        <v>481</v>
      </c>
      <c r="E128" t="s">
        <v>480</v>
      </c>
      <c r="F128" t="s">
        <v>479</v>
      </c>
      <c r="G128" t="s">
        <v>545</v>
      </c>
    </row>
    <row r="129" spans="1:7">
      <c r="A129" s="1" t="s">
        <v>329</v>
      </c>
      <c r="B129" t="s">
        <v>483</v>
      </c>
      <c r="C129" t="s">
        <v>487</v>
      </c>
      <c r="D129" t="s">
        <v>481</v>
      </c>
      <c r="E129" t="s">
        <v>480</v>
      </c>
      <c r="F129" t="s">
        <v>479</v>
      </c>
      <c r="G129" t="s">
        <v>545</v>
      </c>
    </row>
    <row r="130" spans="1:7">
      <c r="A130" s="1" t="s">
        <v>289</v>
      </c>
      <c r="B130" t="s">
        <v>483</v>
      </c>
      <c r="C130" t="s">
        <v>487</v>
      </c>
      <c r="D130" t="s">
        <v>481</v>
      </c>
      <c r="E130" t="s">
        <v>480</v>
      </c>
      <c r="F130" t="s">
        <v>479</v>
      </c>
      <c r="G130" t="s">
        <v>545</v>
      </c>
    </row>
    <row r="131" spans="1:7">
      <c r="A131" s="1" t="s">
        <v>254</v>
      </c>
      <c r="B131" t="s">
        <v>483</v>
      </c>
      <c r="C131" t="s">
        <v>487</v>
      </c>
      <c r="D131" t="s">
        <v>481</v>
      </c>
      <c r="E131" t="s">
        <v>480</v>
      </c>
      <c r="F131" t="s">
        <v>479</v>
      </c>
      <c r="G131" t="s">
        <v>545</v>
      </c>
    </row>
    <row r="132" spans="1:7">
      <c r="A132" s="1" t="s">
        <v>404</v>
      </c>
      <c r="B132" t="s">
        <v>483</v>
      </c>
      <c r="C132" t="s">
        <v>487</v>
      </c>
      <c r="D132" t="s">
        <v>481</v>
      </c>
      <c r="E132" t="s">
        <v>480</v>
      </c>
      <c r="F132" t="s">
        <v>479</v>
      </c>
      <c r="G132" t="s">
        <v>545</v>
      </c>
    </row>
    <row r="133" spans="1:7">
      <c r="A133" s="1" t="s">
        <v>307</v>
      </c>
      <c r="B133" t="s">
        <v>483</v>
      </c>
      <c r="C133" t="s">
        <v>487</v>
      </c>
      <c r="D133" t="s">
        <v>481</v>
      </c>
      <c r="E133" t="s">
        <v>480</v>
      </c>
      <c r="F133" t="s">
        <v>479</v>
      </c>
      <c r="G133" t="s">
        <v>545</v>
      </c>
    </row>
    <row r="134" spans="1:7">
      <c r="A134" s="1" t="s">
        <v>183</v>
      </c>
      <c r="B134" t="s">
        <v>483</v>
      </c>
      <c r="C134" t="s">
        <v>487</v>
      </c>
      <c r="D134" t="s">
        <v>481</v>
      </c>
      <c r="E134" t="s">
        <v>480</v>
      </c>
      <c r="F134" t="s">
        <v>479</v>
      </c>
      <c r="G134" t="s">
        <v>545</v>
      </c>
    </row>
    <row r="135" spans="1:7">
      <c r="A135" s="1" t="s">
        <v>163</v>
      </c>
      <c r="B135" t="s">
        <v>483</v>
      </c>
      <c r="C135" t="s">
        <v>487</v>
      </c>
      <c r="D135" t="s">
        <v>481</v>
      </c>
      <c r="E135" t="s">
        <v>480</v>
      </c>
      <c r="F135" t="s">
        <v>479</v>
      </c>
      <c r="G135" t="s">
        <v>545</v>
      </c>
    </row>
    <row r="136" spans="1:7">
      <c r="A136" s="1" t="s">
        <v>261</v>
      </c>
      <c r="B136" t="s">
        <v>483</v>
      </c>
      <c r="C136" t="s">
        <v>487</v>
      </c>
      <c r="D136" t="s">
        <v>481</v>
      </c>
      <c r="E136" t="s">
        <v>480</v>
      </c>
      <c r="F136" t="s">
        <v>479</v>
      </c>
      <c r="G136" t="s">
        <v>545</v>
      </c>
    </row>
    <row r="137" spans="1:7">
      <c r="A137" s="1" t="s">
        <v>287</v>
      </c>
      <c r="B137" t="s">
        <v>483</v>
      </c>
      <c r="C137" t="s">
        <v>487</v>
      </c>
      <c r="D137" t="s">
        <v>481</v>
      </c>
      <c r="E137" t="s">
        <v>480</v>
      </c>
      <c r="F137" t="s">
        <v>479</v>
      </c>
      <c r="G137" t="s">
        <v>545</v>
      </c>
    </row>
    <row r="138" spans="1:7">
      <c r="A138" s="1" t="s">
        <v>460</v>
      </c>
      <c r="B138" t="s">
        <v>483</v>
      </c>
      <c r="C138" t="s">
        <v>487</v>
      </c>
      <c r="D138" t="s">
        <v>481</v>
      </c>
      <c r="E138" t="s">
        <v>480</v>
      </c>
      <c r="F138" t="s">
        <v>479</v>
      </c>
      <c r="G138" t="s">
        <v>545</v>
      </c>
    </row>
    <row r="139" spans="1:7">
      <c r="A139" s="1" t="s">
        <v>219</v>
      </c>
      <c r="B139" t="s">
        <v>483</v>
      </c>
      <c r="C139" t="s">
        <v>487</v>
      </c>
      <c r="D139" t="s">
        <v>481</v>
      </c>
      <c r="E139" t="s">
        <v>480</v>
      </c>
      <c r="F139" t="s">
        <v>479</v>
      </c>
      <c r="G139" t="s">
        <v>545</v>
      </c>
    </row>
    <row r="140" spans="1:7">
      <c r="A140" s="1" t="s">
        <v>402</v>
      </c>
      <c r="B140" t="s">
        <v>483</v>
      </c>
      <c r="C140" t="s">
        <v>487</v>
      </c>
      <c r="D140" t="s">
        <v>481</v>
      </c>
      <c r="E140" t="s">
        <v>480</v>
      </c>
      <c r="F140" t="s">
        <v>479</v>
      </c>
      <c r="G140" t="s">
        <v>545</v>
      </c>
    </row>
    <row r="141" spans="1:7">
      <c r="A141" s="1" t="s">
        <v>362</v>
      </c>
      <c r="B141" t="s">
        <v>483</v>
      </c>
      <c r="C141" t="s">
        <v>485</v>
      </c>
      <c r="D141" t="s">
        <v>481</v>
      </c>
      <c r="E141" t="s">
        <v>480</v>
      </c>
      <c r="F141" t="s">
        <v>479</v>
      </c>
      <c r="G141" t="s">
        <v>545</v>
      </c>
    </row>
    <row r="142" spans="1:7">
      <c r="A142" s="1" t="s">
        <v>301</v>
      </c>
      <c r="B142" t="s">
        <v>483</v>
      </c>
      <c r="C142" t="s">
        <v>485</v>
      </c>
      <c r="D142" t="s">
        <v>481</v>
      </c>
      <c r="E142" t="s">
        <v>480</v>
      </c>
      <c r="F142" t="s">
        <v>479</v>
      </c>
      <c r="G142" t="s">
        <v>545</v>
      </c>
    </row>
    <row r="143" spans="1:7">
      <c r="A143" s="1" t="s">
        <v>442</v>
      </c>
      <c r="B143" t="s">
        <v>483</v>
      </c>
      <c r="C143" t="s">
        <v>485</v>
      </c>
      <c r="D143" t="s">
        <v>481</v>
      </c>
      <c r="E143" t="s">
        <v>480</v>
      </c>
      <c r="F143" t="s">
        <v>479</v>
      </c>
      <c r="G143" t="s">
        <v>545</v>
      </c>
    </row>
    <row r="144" spans="1:7">
      <c r="A144" s="1" t="s">
        <v>275</v>
      </c>
      <c r="B144" t="s">
        <v>483</v>
      </c>
      <c r="C144" t="s">
        <v>485</v>
      </c>
      <c r="D144" t="s">
        <v>481</v>
      </c>
      <c r="E144" t="s">
        <v>480</v>
      </c>
      <c r="F144" t="s">
        <v>479</v>
      </c>
      <c r="G144" t="s">
        <v>545</v>
      </c>
    </row>
    <row r="145" spans="1:7">
      <c r="A145" s="1" t="s">
        <v>179</v>
      </c>
      <c r="B145" t="s">
        <v>483</v>
      </c>
      <c r="C145" t="s">
        <v>485</v>
      </c>
      <c r="D145" t="s">
        <v>481</v>
      </c>
      <c r="E145" t="s">
        <v>480</v>
      </c>
      <c r="F145" t="s">
        <v>479</v>
      </c>
      <c r="G145" t="s">
        <v>545</v>
      </c>
    </row>
    <row r="146" spans="1:7">
      <c r="A146" s="1" t="s">
        <v>169</v>
      </c>
      <c r="B146" t="s">
        <v>483</v>
      </c>
      <c r="C146" t="s">
        <v>485</v>
      </c>
      <c r="D146" t="s">
        <v>481</v>
      </c>
      <c r="E146" t="s">
        <v>480</v>
      </c>
      <c r="F146" t="s">
        <v>479</v>
      </c>
      <c r="G146" t="s">
        <v>545</v>
      </c>
    </row>
    <row r="147" spans="1:7">
      <c r="A147" s="1" t="s">
        <v>309</v>
      </c>
      <c r="B147" t="s">
        <v>483</v>
      </c>
      <c r="C147" t="s">
        <v>485</v>
      </c>
      <c r="D147" t="s">
        <v>481</v>
      </c>
      <c r="E147" t="s">
        <v>480</v>
      </c>
      <c r="F147" t="s">
        <v>479</v>
      </c>
      <c r="G147" t="s">
        <v>545</v>
      </c>
    </row>
    <row r="148" spans="1:7">
      <c r="A148" s="1" t="s">
        <v>432</v>
      </c>
      <c r="B148" t="s">
        <v>483</v>
      </c>
      <c r="C148" t="s">
        <v>485</v>
      </c>
      <c r="D148" t="s">
        <v>481</v>
      </c>
      <c r="E148" t="s">
        <v>480</v>
      </c>
      <c r="F148" t="s">
        <v>479</v>
      </c>
      <c r="G148" t="s">
        <v>545</v>
      </c>
    </row>
    <row r="149" spans="1:7">
      <c r="A149" s="1" t="s">
        <v>195</v>
      </c>
      <c r="B149" t="s">
        <v>483</v>
      </c>
      <c r="C149" t="s">
        <v>485</v>
      </c>
      <c r="D149" t="s">
        <v>481</v>
      </c>
      <c r="E149" t="s">
        <v>480</v>
      </c>
      <c r="F149" t="s">
        <v>479</v>
      </c>
      <c r="G149" t="s">
        <v>545</v>
      </c>
    </row>
    <row r="150" spans="1:7">
      <c r="A150" s="1" t="s">
        <v>227</v>
      </c>
      <c r="B150" t="s">
        <v>483</v>
      </c>
      <c r="C150" t="s">
        <v>485</v>
      </c>
      <c r="D150" t="s">
        <v>481</v>
      </c>
      <c r="E150" t="s">
        <v>480</v>
      </c>
      <c r="F150" t="s">
        <v>479</v>
      </c>
      <c r="G150" t="s">
        <v>545</v>
      </c>
    </row>
    <row r="151" spans="1:7">
      <c r="A151" s="1" t="s">
        <v>252</v>
      </c>
      <c r="B151" t="s">
        <v>483</v>
      </c>
      <c r="C151" t="s">
        <v>485</v>
      </c>
      <c r="D151" t="s">
        <v>481</v>
      </c>
      <c r="E151" t="s">
        <v>480</v>
      </c>
      <c r="F151" t="s">
        <v>479</v>
      </c>
      <c r="G151" t="s">
        <v>545</v>
      </c>
    </row>
    <row r="152" spans="1:7">
      <c r="A152" s="1" t="s">
        <v>311</v>
      </c>
      <c r="B152" t="s">
        <v>483</v>
      </c>
      <c r="C152" t="s">
        <v>485</v>
      </c>
      <c r="D152" t="s">
        <v>481</v>
      </c>
      <c r="E152" t="s">
        <v>480</v>
      </c>
      <c r="F152" t="s">
        <v>479</v>
      </c>
      <c r="G152" t="s">
        <v>545</v>
      </c>
    </row>
    <row r="153" spans="1:7">
      <c r="A153" s="1" t="s">
        <v>295</v>
      </c>
      <c r="B153" t="s">
        <v>483</v>
      </c>
      <c r="C153" t="s">
        <v>485</v>
      </c>
      <c r="D153" t="s">
        <v>481</v>
      </c>
      <c r="E153" t="s">
        <v>480</v>
      </c>
      <c r="F153" t="s">
        <v>479</v>
      </c>
      <c r="G153" t="s">
        <v>545</v>
      </c>
    </row>
    <row r="154" spans="1:7">
      <c r="A154" s="1" t="s">
        <v>455</v>
      </c>
      <c r="B154" t="s">
        <v>483</v>
      </c>
      <c r="C154" t="s">
        <v>485</v>
      </c>
      <c r="D154" t="s">
        <v>481</v>
      </c>
      <c r="E154" t="s">
        <v>480</v>
      </c>
      <c r="F154" t="s">
        <v>479</v>
      </c>
      <c r="G154" t="s">
        <v>545</v>
      </c>
    </row>
    <row r="155" spans="1:7">
      <c r="A155" s="1" t="s">
        <v>418</v>
      </c>
      <c r="B155" t="s">
        <v>483</v>
      </c>
      <c r="C155" t="s">
        <v>485</v>
      </c>
      <c r="D155" t="s">
        <v>481</v>
      </c>
      <c r="E155" t="s">
        <v>480</v>
      </c>
      <c r="F155" t="s">
        <v>479</v>
      </c>
      <c r="G155" t="s">
        <v>545</v>
      </c>
    </row>
    <row r="156" spans="1:7">
      <c r="A156" s="1" t="s">
        <v>342</v>
      </c>
      <c r="B156" t="s">
        <v>483</v>
      </c>
      <c r="C156" t="s">
        <v>485</v>
      </c>
      <c r="D156" t="s">
        <v>481</v>
      </c>
      <c r="E156" t="s">
        <v>480</v>
      </c>
      <c r="F156" t="s">
        <v>479</v>
      </c>
      <c r="G156" t="s">
        <v>545</v>
      </c>
    </row>
    <row r="157" spans="1:7">
      <c r="A157" s="1" t="s">
        <v>422</v>
      </c>
      <c r="B157" t="s">
        <v>483</v>
      </c>
      <c r="C157" t="s">
        <v>485</v>
      </c>
      <c r="D157" t="s">
        <v>481</v>
      </c>
      <c r="E157" t="s">
        <v>480</v>
      </c>
      <c r="F157" t="s">
        <v>479</v>
      </c>
      <c r="G157" t="s">
        <v>545</v>
      </c>
    </row>
    <row r="158" spans="1:7">
      <c r="A158" s="1" t="s">
        <v>207</v>
      </c>
      <c r="B158" t="s">
        <v>483</v>
      </c>
      <c r="C158" t="s">
        <v>485</v>
      </c>
      <c r="D158" t="s">
        <v>481</v>
      </c>
      <c r="E158" t="s">
        <v>480</v>
      </c>
      <c r="F158" t="s">
        <v>479</v>
      </c>
      <c r="G158" t="s">
        <v>545</v>
      </c>
    </row>
    <row r="159" spans="1:7">
      <c r="A159" s="1" t="s">
        <v>231</v>
      </c>
      <c r="B159" t="s">
        <v>483</v>
      </c>
      <c r="C159" t="s">
        <v>485</v>
      </c>
      <c r="D159" t="s">
        <v>481</v>
      </c>
      <c r="E159" t="s">
        <v>480</v>
      </c>
      <c r="F159" t="s">
        <v>479</v>
      </c>
      <c r="G159" t="s">
        <v>545</v>
      </c>
    </row>
    <row r="160" spans="1:7">
      <c r="A160" s="1" t="s">
        <v>244</v>
      </c>
      <c r="B160" t="s">
        <v>483</v>
      </c>
      <c r="C160" t="s">
        <v>485</v>
      </c>
      <c r="D160" t="s">
        <v>481</v>
      </c>
      <c r="E160" t="s">
        <v>480</v>
      </c>
      <c r="F160" t="s">
        <v>479</v>
      </c>
      <c r="G160" t="s">
        <v>545</v>
      </c>
    </row>
    <row r="161" spans="1:7">
      <c r="A161" s="1" t="s">
        <v>344</v>
      </c>
      <c r="B161" t="s">
        <v>483</v>
      </c>
      <c r="C161" t="s">
        <v>485</v>
      </c>
      <c r="D161" t="s">
        <v>481</v>
      </c>
      <c r="E161" t="s">
        <v>480</v>
      </c>
      <c r="F161" t="s">
        <v>479</v>
      </c>
      <c r="G161" t="s">
        <v>545</v>
      </c>
    </row>
    <row r="162" spans="1:7">
      <c r="A162" s="1" t="s">
        <v>187</v>
      </c>
      <c r="B162" t="s">
        <v>483</v>
      </c>
      <c r="C162" t="s">
        <v>485</v>
      </c>
      <c r="D162" t="s">
        <v>481</v>
      </c>
      <c r="E162" t="s">
        <v>480</v>
      </c>
      <c r="F162" t="s">
        <v>479</v>
      </c>
      <c r="G162" t="s">
        <v>545</v>
      </c>
    </row>
    <row r="163" spans="1:7">
      <c r="A163" s="1" t="s">
        <v>125</v>
      </c>
      <c r="B163" t="s">
        <v>483</v>
      </c>
      <c r="C163" t="s">
        <v>485</v>
      </c>
      <c r="D163" t="s">
        <v>481</v>
      </c>
      <c r="E163" t="s">
        <v>480</v>
      </c>
      <c r="F163" t="s">
        <v>479</v>
      </c>
      <c r="G163" t="s">
        <v>545</v>
      </c>
    </row>
    <row r="164" spans="1:7">
      <c r="A164" s="1" t="s">
        <v>450</v>
      </c>
      <c r="B164" t="s">
        <v>483</v>
      </c>
      <c r="C164" t="s">
        <v>486</v>
      </c>
      <c r="D164" t="s">
        <v>481</v>
      </c>
      <c r="E164" t="s">
        <v>480</v>
      </c>
      <c r="F164" t="s">
        <v>479</v>
      </c>
      <c r="G164" t="s">
        <v>545</v>
      </c>
    </row>
    <row r="165" spans="1:7">
      <c r="A165" s="1" t="s">
        <v>269</v>
      </c>
      <c r="B165" t="s">
        <v>483</v>
      </c>
      <c r="C165" t="s">
        <v>486</v>
      </c>
      <c r="D165" t="s">
        <v>481</v>
      </c>
      <c r="E165" t="s">
        <v>480</v>
      </c>
      <c r="F165" t="s">
        <v>479</v>
      </c>
      <c r="G165" t="s">
        <v>545</v>
      </c>
    </row>
    <row r="166" spans="1:7">
      <c r="A166" s="1" t="s">
        <v>315</v>
      </c>
      <c r="B166" t="s">
        <v>483</v>
      </c>
      <c r="C166" t="s">
        <v>486</v>
      </c>
      <c r="D166" t="s">
        <v>481</v>
      </c>
      <c r="E166" t="s">
        <v>480</v>
      </c>
      <c r="F166" t="s">
        <v>479</v>
      </c>
      <c r="G166" t="s">
        <v>545</v>
      </c>
    </row>
    <row r="167" spans="1:7">
      <c r="A167" s="1" t="s">
        <v>271</v>
      </c>
      <c r="B167" t="s">
        <v>483</v>
      </c>
      <c r="C167" t="s">
        <v>486</v>
      </c>
      <c r="D167" t="s">
        <v>481</v>
      </c>
      <c r="E167" t="s">
        <v>480</v>
      </c>
      <c r="F167" t="s">
        <v>479</v>
      </c>
      <c r="G167" t="s">
        <v>545</v>
      </c>
    </row>
    <row r="168" spans="1:7">
      <c r="A168" s="1" t="s">
        <v>189</v>
      </c>
      <c r="B168" t="s">
        <v>483</v>
      </c>
      <c r="C168" t="s">
        <v>486</v>
      </c>
      <c r="D168" t="s">
        <v>481</v>
      </c>
      <c r="E168" t="s">
        <v>480</v>
      </c>
      <c r="F168" t="s">
        <v>479</v>
      </c>
      <c r="G168" t="s">
        <v>545</v>
      </c>
    </row>
    <row r="169" spans="1:7">
      <c r="A169" s="1" t="s">
        <v>173</v>
      </c>
      <c r="B169" t="s">
        <v>483</v>
      </c>
      <c r="C169" t="s">
        <v>486</v>
      </c>
      <c r="D169" t="s">
        <v>481</v>
      </c>
      <c r="E169" t="s">
        <v>480</v>
      </c>
      <c r="F169" t="s">
        <v>479</v>
      </c>
      <c r="G169" t="s">
        <v>545</v>
      </c>
    </row>
    <row r="170" spans="1:7">
      <c r="A170" s="1" t="s">
        <v>414</v>
      </c>
      <c r="B170" t="s">
        <v>483</v>
      </c>
      <c r="C170" t="s">
        <v>486</v>
      </c>
      <c r="D170" t="s">
        <v>481</v>
      </c>
      <c r="E170" t="s">
        <v>480</v>
      </c>
      <c r="F170" t="s">
        <v>479</v>
      </c>
      <c r="G170" t="s">
        <v>545</v>
      </c>
    </row>
    <row r="171" spans="1:7">
      <c r="A171" s="1" t="s">
        <v>259</v>
      </c>
      <c r="B171" t="s">
        <v>483</v>
      </c>
      <c r="C171" t="s">
        <v>486</v>
      </c>
      <c r="D171" t="s">
        <v>481</v>
      </c>
      <c r="E171" t="s">
        <v>480</v>
      </c>
      <c r="F171" t="s">
        <v>479</v>
      </c>
      <c r="G171" t="s">
        <v>545</v>
      </c>
    </row>
    <row r="172" spans="1:7">
      <c r="A172" s="1" t="s">
        <v>293</v>
      </c>
      <c r="B172" t="s">
        <v>483</v>
      </c>
      <c r="C172" t="s">
        <v>486</v>
      </c>
      <c r="D172" t="s">
        <v>481</v>
      </c>
      <c r="E172" t="s">
        <v>480</v>
      </c>
      <c r="F172" t="s">
        <v>479</v>
      </c>
      <c r="G172" t="s">
        <v>545</v>
      </c>
    </row>
    <row r="173" spans="1:7">
      <c r="A173" s="1" t="s">
        <v>246</v>
      </c>
      <c r="B173" t="s">
        <v>483</v>
      </c>
      <c r="C173" t="s">
        <v>486</v>
      </c>
      <c r="D173" t="s">
        <v>481</v>
      </c>
      <c r="E173" t="s">
        <v>480</v>
      </c>
      <c r="F173" t="s">
        <v>479</v>
      </c>
      <c r="G173" t="s">
        <v>545</v>
      </c>
    </row>
    <row r="174" spans="1:7">
      <c r="A174" s="1" t="s">
        <v>406</v>
      </c>
      <c r="B174" t="s">
        <v>483</v>
      </c>
      <c r="C174" t="s">
        <v>486</v>
      </c>
      <c r="D174" t="s">
        <v>481</v>
      </c>
      <c r="E174" t="s">
        <v>480</v>
      </c>
      <c r="F174" t="s">
        <v>479</v>
      </c>
      <c r="G174" t="s">
        <v>545</v>
      </c>
    </row>
    <row r="175" spans="1:7">
      <c r="A175" s="1" t="s">
        <v>283</v>
      </c>
      <c r="B175" t="s">
        <v>483</v>
      </c>
      <c r="C175" t="s">
        <v>485</v>
      </c>
      <c r="D175" t="s">
        <v>481</v>
      </c>
      <c r="E175" t="s">
        <v>480</v>
      </c>
      <c r="F175" t="s">
        <v>479</v>
      </c>
      <c r="G175" t="s">
        <v>545</v>
      </c>
    </row>
    <row r="176" spans="1:7">
      <c r="A176" s="1" t="s">
        <v>165</v>
      </c>
      <c r="B176" t="s">
        <v>483</v>
      </c>
      <c r="C176" t="s">
        <v>485</v>
      </c>
      <c r="D176" t="s">
        <v>481</v>
      </c>
      <c r="E176" t="s">
        <v>480</v>
      </c>
      <c r="F176" t="s">
        <v>479</v>
      </c>
      <c r="G176" t="s">
        <v>545</v>
      </c>
    </row>
    <row r="177" spans="1:7">
      <c r="A177" s="1" t="s">
        <v>277</v>
      </c>
      <c r="B177" t="s">
        <v>483</v>
      </c>
      <c r="C177" t="s">
        <v>485</v>
      </c>
      <c r="D177" t="s">
        <v>481</v>
      </c>
      <c r="E177" t="s">
        <v>480</v>
      </c>
      <c r="F177" t="s">
        <v>479</v>
      </c>
      <c r="G177" t="s">
        <v>545</v>
      </c>
    </row>
    <row r="178" spans="1:7">
      <c r="A178" s="1" t="s">
        <v>385</v>
      </c>
      <c r="B178" t="s">
        <v>483</v>
      </c>
      <c r="C178" t="s">
        <v>485</v>
      </c>
      <c r="D178" t="s">
        <v>481</v>
      </c>
      <c r="E178" t="s">
        <v>480</v>
      </c>
      <c r="F178" t="s">
        <v>479</v>
      </c>
      <c r="G178" t="s">
        <v>545</v>
      </c>
    </row>
    <row r="179" spans="1:7">
      <c r="A179" s="1" t="s">
        <v>113</v>
      </c>
      <c r="B179" t="s">
        <v>483</v>
      </c>
      <c r="C179" t="s">
        <v>485</v>
      </c>
      <c r="D179" t="s">
        <v>481</v>
      </c>
      <c r="E179" t="s">
        <v>480</v>
      </c>
      <c r="F179" t="s">
        <v>479</v>
      </c>
      <c r="G179" t="s">
        <v>545</v>
      </c>
    </row>
    <row r="180" spans="1:7">
      <c r="A180" s="1" t="s">
        <v>323</v>
      </c>
      <c r="B180" t="s">
        <v>483</v>
      </c>
      <c r="C180" t="s">
        <v>485</v>
      </c>
      <c r="D180" t="s">
        <v>481</v>
      </c>
      <c r="E180" t="s">
        <v>480</v>
      </c>
      <c r="F180" t="s">
        <v>479</v>
      </c>
      <c r="G180" t="s">
        <v>545</v>
      </c>
    </row>
    <row r="181" spans="1:7">
      <c r="A181" s="1" t="s">
        <v>426</v>
      </c>
      <c r="B181" t="s">
        <v>483</v>
      </c>
      <c r="C181" t="s">
        <v>485</v>
      </c>
      <c r="D181" t="s">
        <v>481</v>
      </c>
      <c r="E181" t="s">
        <v>480</v>
      </c>
      <c r="F181" t="s">
        <v>479</v>
      </c>
      <c r="G181" t="s">
        <v>545</v>
      </c>
    </row>
    <row r="182" spans="1:7">
      <c r="A182" s="1" t="s">
        <v>400</v>
      </c>
      <c r="B182" t="s">
        <v>483</v>
      </c>
      <c r="C182" t="s">
        <v>485</v>
      </c>
      <c r="D182" t="s">
        <v>481</v>
      </c>
      <c r="E182" t="s">
        <v>480</v>
      </c>
      <c r="F182" t="s">
        <v>479</v>
      </c>
      <c r="G182" t="s">
        <v>545</v>
      </c>
    </row>
    <row r="183" spans="1:7">
      <c r="A183" s="1" t="s">
        <v>446</v>
      </c>
      <c r="B183" t="s">
        <v>483</v>
      </c>
      <c r="C183" t="s">
        <v>485</v>
      </c>
      <c r="D183" t="s">
        <v>481</v>
      </c>
      <c r="E183" t="s">
        <v>480</v>
      </c>
      <c r="F183" t="s">
        <v>479</v>
      </c>
      <c r="G183" t="s">
        <v>545</v>
      </c>
    </row>
    <row r="184" spans="1:7">
      <c r="A184" s="1" t="s">
        <v>434</v>
      </c>
      <c r="B184" t="s">
        <v>483</v>
      </c>
      <c r="C184" t="s">
        <v>482</v>
      </c>
      <c r="D184" t="s">
        <v>481</v>
      </c>
      <c r="E184" t="s">
        <v>480</v>
      </c>
      <c r="F184" t="s">
        <v>479</v>
      </c>
      <c r="G184" t="s">
        <v>545</v>
      </c>
    </row>
    <row r="185" spans="1:7">
      <c r="A185" s="1" t="s">
        <v>364</v>
      </c>
      <c r="B185" t="s">
        <v>483</v>
      </c>
      <c r="C185" t="s">
        <v>484</v>
      </c>
      <c r="D185" t="s">
        <v>481</v>
      </c>
      <c r="E185" t="s">
        <v>480</v>
      </c>
      <c r="F185" t="s">
        <v>479</v>
      </c>
      <c r="G185" t="s">
        <v>545</v>
      </c>
    </row>
    <row r="186" spans="1:7">
      <c r="A186" s="1" t="s">
        <v>167</v>
      </c>
      <c r="B186" t="s">
        <v>483</v>
      </c>
      <c r="C186" t="s">
        <v>484</v>
      </c>
      <c r="D186" t="s">
        <v>481</v>
      </c>
      <c r="E186" t="s">
        <v>480</v>
      </c>
      <c r="F186" t="s">
        <v>479</v>
      </c>
      <c r="G186" t="s">
        <v>545</v>
      </c>
    </row>
    <row r="187" spans="1:7">
      <c r="A187" s="1" t="s">
        <v>223</v>
      </c>
      <c r="B187" t="s">
        <v>483</v>
      </c>
      <c r="C187" t="s">
        <v>484</v>
      </c>
      <c r="D187" t="s">
        <v>481</v>
      </c>
      <c r="E187" t="s">
        <v>480</v>
      </c>
      <c r="F187" t="s">
        <v>479</v>
      </c>
      <c r="G187" t="s">
        <v>545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87"/>
  <sheetViews>
    <sheetView tabSelected="1" topLeftCell="B164" workbookViewId="0">
      <selection activeCell="K187" sqref="K187"/>
    </sheetView>
  </sheetViews>
  <sheetFormatPr defaultRowHeight="15"/>
  <cols>
    <col min="1" max="1" width="52.85546875" bestFit="1" customWidth="1"/>
    <col min="2" max="2" width="69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9" max="9" width="13.42578125" customWidth="1"/>
    <col min="10" max="10" width="8" bestFit="1" customWidth="1"/>
    <col min="11" max="11" width="9" bestFit="1" customWidth="1"/>
    <col min="12" max="16384" width="9.140625" style="11"/>
  </cols>
  <sheetData>
    <row r="1" spans="1:11" s="10" customFormat="1">
      <c r="A1" s="7" t="s">
        <v>548</v>
      </c>
      <c r="B1" s="7" t="s">
        <v>508</v>
      </c>
      <c r="C1" s="7" t="s">
        <v>507</v>
      </c>
      <c r="D1" s="7" t="s">
        <v>506</v>
      </c>
      <c r="E1" s="7" t="s">
        <v>505</v>
      </c>
      <c r="F1" s="7" t="s">
        <v>504</v>
      </c>
      <c r="G1" s="7" t="s">
        <v>503</v>
      </c>
      <c r="H1" s="7" t="s">
        <v>502</v>
      </c>
      <c r="I1" s="7" t="s">
        <v>551</v>
      </c>
      <c r="J1" s="7" t="s">
        <v>501</v>
      </c>
      <c r="K1" s="7" t="s">
        <v>500</v>
      </c>
    </row>
    <row r="2" spans="1:11">
      <c r="A2" s="1" t="s">
        <v>127</v>
      </c>
      <c r="B2" t="str">
        <f t="shared" ref="B2:B33" si="0">A2 &amp; ", Ganesh Meridian"</f>
        <v>M_S.Desai &amp; Co. Proprietor Desai Nimbeshwar Gudadram, Ganesh Meridian</v>
      </c>
      <c r="C2" t="s">
        <v>499</v>
      </c>
      <c r="D2" t="s">
        <v>498</v>
      </c>
      <c r="E2" t="s">
        <v>497</v>
      </c>
      <c r="F2" t="s">
        <v>496</v>
      </c>
      <c r="G2" t="s">
        <v>495</v>
      </c>
      <c r="H2" t="s">
        <v>494</v>
      </c>
      <c r="I2" t="s">
        <v>496</v>
      </c>
      <c r="J2">
        <v>380060</v>
      </c>
      <c r="K2" t="b">
        <v>1</v>
      </c>
    </row>
    <row r="3" spans="1:11">
      <c r="A3" s="1" t="s">
        <v>279</v>
      </c>
      <c r="B3" t="str">
        <f t="shared" si="0"/>
        <v>Somabhai Kuberbhai Prajapati, Ganesh Meridian</v>
      </c>
      <c r="C3" t="s">
        <v>499</v>
      </c>
      <c r="D3" t="s">
        <v>498</v>
      </c>
      <c r="E3" t="s">
        <v>497</v>
      </c>
      <c r="F3" t="s">
        <v>496</v>
      </c>
      <c r="G3" t="s">
        <v>495</v>
      </c>
      <c r="H3" t="s">
        <v>494</v>
      </c>
      <c r="I3" t="s">
        <v>496</v>
      </c>
      <c r="J3">
        <v>380060</v>
      </c>
      <c r="K3" t="b">
        <v>1</v>
      </c>
    </row>
    <row r="4" spans="1:11">
      <c r="A4" s="1" t="s">
        <v>378</v>
      </c>
      <c r="B4" t="str">
        <f t="shared" si="0"/>
        <v>A. D. Patel, Ganesh Meridian</v>
      </c>
      <c r="C4" t="s">
        <v>499</v>
      </c>
      <c r="D4" t="s">
        <v>498</v>
      </c>
      <c r="E4" t="s">
        <v>497</v>
      </c>
      <c r="F4" t="s">
        <v>496</v>
      </c>
      <c r="G4" t="s">
        <v>495</v>
      </c>
      <c r="H4" t="s">
        <v>494</v>
      </c>
      <c r="I4" t="s">
        <v>496</v>
      </c>
      <c r="J4">
        <v>380060</v>
      </c>
      <c r="K4" t="b">
        <v>1</v>
      </c>
    </row>
    <row r="5" spans="1:11">
      <c r="A5" s="2" t="s">
        <v>440</v>
      </c>
      <c r="B5" t="str">
        <f t="shared" si="0"/>
        <v>Viaan Solutions LLP, Ganesh Meridian</v>
      </c>
      <c r="C5" t="s">
        <v>499</v>
      </c>
      <c r="D5" t="s">
        <v>498</v>
      </c>
      <c r="E5" t="s">
        <v>497</v>
      </c>
      <c r="F5" t="s">
        <v>496</v>
      </c>
      <c r="G5" t="s">
        <v>495</v>
      </c>
      <c r="H5" t="s">
        <v>494</v>
      </c>
      <c r="I5" t="s">
        <v>496</v>
      </c>
      <c r="J5">
        <v>380060</v>
      </c>
      <c r="K5" t="b">
        <v>1</v>
      </c>
    </row>
    <row r="6" spans="1:11">
      <c r="A6" s="2" t="s">
        <v>24</v>
      </c>
      <c r="B6" t="str">
        <f t="shared" si="0"/>
        <v>Tejas Manilal Patel , Ganesh Meridian</v>
      </c>
      <c r="C6" t="s">
        <v>499</v>
      </c>
      <c r="D6" t="s">
        <v>498</v>
      </c>
      <c r="E6" t="s">
        <v>497</v>
      </c>
      <c r="F6" t="s">
        <v>496</v>
      </c>
      <c r="G6" t="s">
        <v>495</v>
      </c>
      <c r="H6" t="s">
        <v>494</v>
      </c>
      <c r="I6" t="s">
        <v>496</v>
      </c>
      <c r="J6">
        <v>380060</v>
      </c>
      <c r="K6" t="b">
        <v>1</v>
      </c>
    </row>
    <row r="7" spans="1:11">
      <c r="A7" s="1" t="s">
        <v>305</v>
      </c>
      <c r="B7" t="str">
        <f t="shared" si="0"/>
        <v>Uniza Healthcare LLP, Ganesh Meridian</v>
      </c>
      <c r="C7" t="s">
        <v>499</v>
      </c>
      <c r="D7" t="s">
        <v>498</v>
      </c>
      <c r="E7" t="s">
        <v>497</v>
      </c>
      <c r="F7" t="s">
        <v>496</v>
      </c>
      <c r="G7" t="s">
        <v>495</v>
      </c>
      <c r="H7" t="s">
        <v>494</v>
      </c>
      <c r="I7" t="s">
        <v>496</v>
      </c>
      <c r="J7">
        <v>380060</v>
      </c>
      <c r="K7" t="b">
        <v>1</v>
      </c>
    </row>
    <row r="8" spans="1:11">
      <c r="A8" s="1" t="s">
        <v>267</v>
      </c>
      <c r="B8" t="str">
        <f t="shared" si="0"/>
        <v>Jagdishsinh Mansinh Rao, Ganesh Meridian</v>
      </c>
      <c r="C8" t="s">
        <v>499</v>
      </c>
      <c r="D8" t="s">
        <v>498</v>
      </c>
      <c r="E8" t="s">
        <v>497</v>
      </c>
      <c r="F8" t="s">
        <v>496</v>
      </c>
      <c r="G8" t="s">
        <v>495</v>
      </c>
      <c r="H8" t="s">
        <v>494</v>
      </c>
      <c r="I8" t="s">
        <v>496</v>
      </c>
      <c r="J8">
        <v>380060</v>
      </c>
      <c r="K8" t="b">
        <v>1</v>
      </c>
    </row>
    <row r="9" spans="1:11">
      <c r="A9" s="1" t="s">
        <v>356</v>
      </c>
      <c r="B9" t="str">
        <f t="shared" si="0"/>
        <v>Arjun Sheth&amp;Associate, Ganesh Meridian</v>
      </c>
      <c r="C9" t="s">
        <v>499</v>
      </c>
      <c r="D9" t="s">
        <v>498</v>
      </c>
      <c r="E9" t="s">
        <v>497</v>
      </c>
      <c r="F9" t="s">
        <v>496</v>
      </c>
      <c r="G9" t="s">
        <v>495</v>
      </c>
      <c r="H9" t="s">
        <v>494</v>
      </c>
      <c r="I9" t="s">
        <v>496</v>
      </c>
      <c r="J9">
        <v>380060</v>
      </c>
      <c r="K9" t="b">
        <v>1</v>
      </c>
    </row>
    <row r="10" spans="1:11">
      <c r="A10" s="1" t="s">
        <v>197</v>
      </c>
      <c r="B10" t="str">
        <f t="shared" si="0"/>
        <v>Ashlesha Mansukhbhai Patel, Ganesh Meridian</v>
      </c>
      <c r="C10" t="s">
        <v>499</v>
      </c>
      <c r="D10" t="s">
        <v>498</v>
      </c>
      <c r="E10" t="s">
        <v>497</v>
      </c>
      <c r="F10" t="s">
        <v>496</v>
      </c>
      <c r="G10" t="s">
        <v>495</v>
      </c>
      <c r="H10" t="s">
        <v>494</v>
      </c>
      <c r="I10" t="s">
        <v>496</v>
      </c>
      <c r="J10">
        <v>380060</v>
      </c>
      <c r="K10" t="b">
        <v>1</v>
      </c>
    </row>
    <row r="11" spans="1:11">
      <c r="A11" s="1" t="s">
        <v>209</v>
      </c>
      <c r="B11" t="str">
        <f t="shared" si="0"/>
        <v>Sagarbhai R Desai, Ganesh Meridian</v>
      </c>
      <c r="C11" t="s">
        <v>499</v>
      </c>
      <c r="D11" t="s">
        <v>498</v>
      </c>
      <c r="E11" t="s">
        <v>497</v>
      </c>
      <c r="F11" t="s">
        <v>496</v>
      </c>
      <c r="G11" t="s">
        <v>495</v>
      </c>
      <c r="H11" t="s">
        <v>494</v>
      </c>
      <c r="I11" t="s">
        <v>496</v>
      </c>
      <c r="J11">
        <v>380060</v>
      </c>
      <c r="K11" t="b">
        <v>1</v>
      </c>
    </row>
    <row r="12" spans="1:11">
      <c r="A12" s="1" t="s">
        <v>38</v>
      </c>
      <c r="B12" t="str">
        <f t="shared" si="0"/>
        <v>Shashikantbhai P Patel, Ganesh Meridian</v>
      </c>
      <c r="C12" t="s">
        <v>499</v>
      </c>
      <c r="D12" t="s">
        <v>498</v>
      </c>
      <c r="E12" t="s">
        <v>497</v>
      </c>
      <c r="F12" t="s">
        <v>496</v>
      </c>
      <c r="G12" t="s">
        <v>495</v>
      </c>
      <c r="H12" t="s">
        <v>494</v>
      </c>
      <c r="I12" t="s">
        <v>496</v>
      </c>
      <c r="J12">
        <v>380060</v>
      </c>
      <c r="K12" t="b">
        <v>1</v>
      </c>
    </row>
    <row r="13" spans="1:11">
      <c r="A13" s="1" t="s">
        <v>371</v>
      </c>
      <c r="B13" t="str">
        <f t="shared" si="0"/>
        <v>Synbio Technova P. Ltd, Ganesh Meridian</v>
      </c>
      <c r="C13" t="s">
        <v>499</v>
      </c>
      <c r="D13" t="s">
        <v>498</v>
      </c>
      <c r="E13" t="s">
        <v>497</v>
      </c>
      <c r="F13" t="s">
        <v>496</v>
      </c>
      <c r="G13" t="s">
        <v>495</v>
      </c>
      <c r="H13" t="s">
        <v>494</v>
      </c>
      <c r="I13" t="s">
        <v>496</v>
      </c>
      <c r="J13">
        <v>380060</v>
      </c>
      <c r="K13" t="b">
        <v>1</v>
      </c>
    </row>
    <row r="14" spans="1:11">
      <c r="A14" s="1" t="s">
        <v>436</v>
      </c>
      <c r="B14" t="str">
        <f t="shared" si="0"/>
        <v>Qodic Technosoft LLP, Ganesh Meridian</v>
      </c>
      <c r="C14" t="s">
        <v>499</v>
      </c>
      <c r="D14" t="s">
        <v>498</v>
      </c>
      <c r="E14" t="s">
        <v>497</v>
      </c>
      <c r="F14" t="s">
        <v>496</v>
      </c>
      <c r="G14" t="s">
        <v>495</v>
      </c>
      <c r="H14" t="s">
        <v>494</v>
      </c>
      <c r="I14" t="s">
        <v>496</v>
      </c>
      <c r="J14">
        <v>380060</v>
      </c>
      <c r="K14" t="b">
        <v>1</v>
      </c>
    </row>
    <row r="15" spans="1:11">
      <c r="A15" s="1" t="s">
        <v>457</v>
      </c>
      <c r="B15" t="str">
        <f t="shared" si="0"/>
        <v>BVC Logistic Pvt  Ltd, Ganesh Meridian</v>
      </c>
      <c r="C15" t="s">
        <v>499</v>
      </c>
      <c r="D15" t="s">
        <v>498</v>
      </c>
      <c r="E15" t="s">
        <v>497</v>
      </c>
      <c r="F15" t="s">
        <v>496</v>
      </c>
      <c r="G15" t="s">
        <v>495</v>
      </c>
      <c r="H15" t="s">
        <v>494</v>
      </c>
      <c r="I15" t="s">
        <v>496</v>
      </c>
      <c r="J15">
        <v>380060</v>
      </c>
      <c r="K15" t="b">
        <v>1</v>
      </c>
    </row>
    <row r="16" spans="1:11">
      <c r="A16" s="1" t="s">
        <v>291</v>
      </c>
      <c r="B16" t="str">
        <f t="shared" si="0"/>
        <v>M_S.Shree Developers, Ganesh Meridian</v>
      </c>
      <c r="C16" t="s">
        <v>499</v>
      </c>
      <c r="D16" t="s">
        <v>498</v>
      </c>
      <c r="E16" t="s">
        <v>497</v>
      </c>
      <c r="F16" t="s">
        <v>496</v>
      </c>
      <c r="G16" t="s">
        <v>495</v>
      </c>
      <c r="H16" t="s">
        <v>494</v>
      </c>
      <c r="I16" t="s">
        <v>496</v>
      </c>
      <c r="J16">
        <v>380060</v>
      </c>
      <c r="K16" t="b">
        <v>1</v>
      </c>
    </row>
    <row r="17" spans="1:11">
      <c r="A17" s="1" t="s">
        <v>32</v>
      </c>
      <c r="B17" t="str">
        <f t="shared" si="0"/>
        <v>Cengres Tiles Ltd., Ganesh Meridian</v>
      </c>
      <c r="C17" t="s">
        <v>499</v>
      </c>
      <c r="D17" t="s">
        <v>498</v>
      </c>
      <c r="E17" t="s">
        <v>497</v>
      </c>
      <c r="F17" t="s">
        <v>496</v>
      </c>
      <c r="G17" t="s">
        <v>495</v>
      </c>
      <c r="H17" t="s">
        <v>494</v>
      </c>
      <c r="I17" t="s">
        <v>496</v>
      </c>
      <c r="J17">
        <v>380060</v>
      </c>
      <c r="K17" t="b">
        <v>1</v>
      </c>
    </row>
    <row r="18" spans="1:11">
      <c r="A18" s="1" t="s">
        <v>395</v>
      </c>
      <c r="B18" t="str">
        <f t="shared" si="0"/>
        <v>Jagdishbhai Nathabhai Patel, Ganesh Meridian</v>
      </c>
      <c r="C18" t="s">
        <v>499</v>
      </c>
      <c r="D18" t="s">
        <v>498</v>
      </c>
      <c r="E18" t="s">
        <v>497</v>
      </c>
      <c r="F18" t="s">
        <v>496</v>
      </c>
      <c r="G18" t="s">
        <v>495</v>
      </c>
      <c r="H18" t="s">
        <v>494</v>
      </c>
      <c r="I18" t="s">
        <v>496</v>
      </c>
      <c r="J18">
        <v>380060</v>
      </c>
      <c r="K18" t="b">
        <v>1</v>
      </c>
    </row>
    <row r="19" spans="1:11">
      <c r="A19" s="1" t="s">
        <v>142</v>
      </c>
      <c r="B19" t="str">
        <f t="shared" si="0"/>
        <v>B.K. Patel, Ganesh Meridian</v>
      </c>
      <c r="C19" t="s">
        <v>499</v>
      </c>
      <c r="D19" t="s">
        <v>498</v>
      </c>
      <c r="E19" t="s">
        <v>497</v>
      </c>
      <c r="F19" t="s">
        <v>496</v>
      </c>
      <c r="G19" t="s">
        <v>495</v>
      </c>
      <c r="H19" t="s">
        <v>494</v>
      </c>
      <c r="I19" t="s">
        <v>496</v>
      </c>
      <c r="J19">
        <v>380060</v>
      </c>
      <c r="K19" t="b">
        <v>1</v>
      </c>
    </row>
    <row r="20" spans="1:11">
      <c r="A20" s="1" t="s">
        <v>331</v>
      </c>
      <c r="B20" t="str">
        <f t="shared" si="0"/>
        <v>Monil Hasmukhbhai Parikh, Ganesh Meridian</v>
      </c>
      <c r="C20" t="s">
        <v>499</v>
      </c>
      <c r="D20" t="s">
        <v>498</v>
      </c>
      <c r="E20" t="s">
        <v>497</v>
      </c>
      <c r="F20" t="s">
        <v>496</v>
      </c>
      <c r="G20" t="s">
        <v>495</v>
      </c>
      <c r="H20" t="s">
        <v>494</v>
      </c>
      <c r="I20" t="s">
        <v>496</v>
      </c>
      <c r="J20">
        <v>380060</v>
      </c>
      <c r="K20" t="b">
        <v>1</v>
      </c>
    </row>
    <row r="21" spans="1:11">
      <c r="A21" s="1" t="s">
        <v>382</v>
      </c>
      <c r="B21" t="str">
        <f t="shared" si="0"/>
        <v>Ganpat University, Ganesh Meridian</v>
      </c>
      <c r="C21" t="s">
        <v>499</v>
      </c>
      <c r="D21" t="s">
        <v>498</v>
      </c>
      <c r="E21" t="s">
        <v>497</v>
      </c>
      <c r="F21" t="s">
        <v>496</v>
      </c>
      <c r="G21" t="s">
        <v>495</v>
      </c>
      <c r="H21" t="s">
        <v>494</v>
      </c>
      <c r="I21" t="s">
        <v>496</v>
      </c>
      <c r="J21">
        <v>380060</v>
      </c>
      <c r="K21" t="b">
        <v>1</v>
      </c>
    </row>
    <row r="22" spans="1:11">
      <c r="A22" s="1" t="s">
        <v>18</v>
      </c>
      <c r="B22" t="str">
        <f t="shared" si="0"/>
        <v>Nayana Rajnikant Patel, Ganesh Meridian</v>
      </c>
      <c r="C22" t="s">
        <v>499</v>
      </c>
      <c r="D22" t="s">
        <v>498</v>
      </c>
      <c r="E22" t="s">
        <v>497</v>
      </c>
      <c r="F22" t="s">
        <v>496</v>
      </c>
      <c r="G22" t="s">
        <v>495</v>
      </c>
      <c r="H22" t="s">
        <v>494</v>
      </c>
      <c r="I22" t="s">
        <v>496</v>
      </c>
      <c r="J22">
        <v>380060</v>
      </c>
      <c r="K22" t="b">
        <v>1</v>
      </c>
    </row>
    <row r="23" spans="1:11">
      <c r="A23" s="1" t="s">
        <v>299</v>
      </c>
      <c r="B23" t="str">
        <f t="shared" si="0"/>
        <v>Dhaval B Patel, Ganesh Meridian</v>
      </c>
      <c r="C23" t="s">
        <v>499</v>
      </c>
      <c r="D23" t="s">
        <v>498</v>
      </c>
      <c r="E23" t="s">
        <v>497</v>
      </c>
      <c r="F23" t="s">
        <v>496</v>
      </c>
      <c r="G23" t="s">
        <v>495</v>
      </c>
      <c r="H23" t="s">
        <v>494</v>
      </c>
      <c r="I23" t="s">
        <v>496</v>
      </c>
      <c r="J23">
        <v>380060</v>
      </c>
      <c r="K23" t="b">
        <v>1</v>
      </c>
    </row>
    <row r="24" spans="1:11">
      <c r="A24" s="1" t="s">
        <v>30</v>
      </c>
      <c r="B24" t="str">
        <f t="shared" si="0"/>
        <v>Avadhoot Project Pvt Ltd, Ganesh Meridian</v>
      </c>
      <c r="C24" t="s">
        <v>499</v>
      </c>
      <c r="D24" t="s">
        <v>498</v>
      </c>
      <c r="E24" t="s">
        <v>497</v>
      </c>
      <c r="F24" t="s">
        <v>496</v>
      </c>
      <c r="G24" t="s">
        <v>495</v>
      </c>
      <c r="H24" t="s">
        <v>494</v>
      </c>
      <c r="I24" t="s">
        <v>496</v>
      </c>
      <c r="J24">
        <v>380060</v>
      </c>
      <c r="K24" t="b">
        <v>1</v>
      </c>
    </row>
    <row r="25" spans="1:11">
      <c r="A25" s="1" t="s">
        <v>424</v>
      </c>
      <c r="B25" t="str">
        <f t="shared" si="0"/>
        <v>Patel Lalitaben Pankajbhai, Ganesh Meridian</v>
      </c>
      <c r="C25" t="s">
        <v>499</v>
      </c>
      <c r="D25" t="s">
        <v>498</v>
      </c>
      <c r="E25" t="s">
        <v>497</v>
      </c>
      <c r="F25" t="s">
        <v>496</v>
      </c>
      <c r="G25" t="s">
        <v>495</v>
      </c>
      <c r="H25" t="s">
        <v>494</v>
      </c>
      <c r="I25" t="s">
        <v>496</v>
      </c>
      <c r="J25">
        <v>380060</v>
      </c>
      <c r="K25" t="b">
        <v>1</v>
      </c>
    </row>
    <row r="26" spans="1:11">
      <c r="A26" s="1" t="s">
        <v>340</v>
      </c>
      <c r="B26" t="str">
        <f t="shared" si="0"/>
        <v>Rajesh D Shah, Ganesh Meridian</v>
      </c>
      <c r="C26" t="s">
        <v>499</v>
      </c>
      <c r="D26" t="s">
        <v>498</v>
      </c>
      <c r="E26" t="s">
        <v>497</v>
      </c>
      <c r="F26" t="s">
        <v>496</v>
      </c>
      <c r="G26" t="s">
        <v>495</v>
      </c>
      <c r="H26" t="s">
        <v>494</v>
      </c>
      <c r="I26" t="s">
        <v>496</v>
      </c>
      <c r="J26">
        <v>380060</v>
      </c>
      <c r="K26" t="b">
        <v>1</v>
      </c>
    </row>
    <row r="27" spans="1:11">
      <c r="A27" s="1" t="s">
        <v>121</v>
      </c>
      <c r="B27" t="str">
        <f t="shared" si="0"/>
        <v>Ansi Bytecode LLP, Ganesh Meridian</v>
      </c>
      <c r="C27" t="s">
        <v>499</v>
      </c>
      <c r="D27" t="s">
        <v>498</v>
      </c>
      <c r="E27" t="s">
        <v>497</v>
      </c>
      <c r="F27" t="s">
        <v>496</v>
      </c>
      <c r="G27" t="s">
        <v>495</v>
      </c>
      <c r="H27" t="s">
        <v>494</v>
      </c>
      <c r="I27" t="s">
        <v>496</v>
      </c>
      <c r="J27">
        <v>380060</v>
      </c>
      <c r="K27" t="b">
        <v>1</v>
      </c>
    </row>
    <row r="28" spans="1:11">
      <c r="A28" s="1" t="s">
        <v>28</v>
      </c>
      <c r="B28" t="str">
        <f t="shared" si="0"/>
        <v>Kapilaben Shakarabhai Patel, Ganesh Meridian</v>
      </c>
      <c r="C28" t="s">
        <v>499</v>
      </c>
      <c r="D28" t="s">
        <v>498</v>
      </c>
      <c r="E28" t="s">
        <v>497</v>
      </c>
      <c r="F28" t="s">
        <v>496</v>
      </c>
      <c r="G28" t="s">
        <v>495</v>
      </c>
      <c r="H28" t="s">
        <v>494</v>
      </c>
      <c r="I28" t="s">
        <v>496</v>
      </c>
      <c r="J28">
        <v>380060</v>
      </c>
      <c r="K28" t="b">
        <v>1</v>
      </c>
    </row>
    <row r="29" spans="1:11">
      <c r="A29" s="1" t="s">
        <v>119</v>
      </c>
      <c r="B29" t="str">
        <f t="shared" si="0"/>
        <v>Avisha Technologies, Ganesh Meridian</v>
      </c>
      <c r="C29" t="s">
        <v>499</v>
      </c>
      <c r="D29" t="s">
        <v>498</v>
      </c>
      <c r="E29" t="s">
        <v>497</v>
      </c>
      <c r="F29" t="s">
        <v>496</v>
      </c>
      <c r="G29" t="s">
        <v>495</v>
      </c>
      <c r="H29" t="s">
        <v>494</v>
      </c>
      <c r="I29" t="s">
        <v>496</v>
      </c>
      <c r="J29">
        <v>380060</v>
      </c>
      <c r="K29" t="b">
        <v>1</v>
      </c>
    </row>
    <row r="30" spans="1:11">
      <c r="A30" s="1" t="s">
        <v>181</v>
      </c>
      <c r="B30" t="str">
        <f t="shared" si="0"/>
        <v>Rajendra R Shukla, Ganesh Meridian</v>
      </c>
      <c r="C30" t="s">
        <v>499</v>
      </c>
      <c r="D30" t="s">
        <v>498</v>
      </c>
      <c r="E30" t="s">
        <v>497</v>
      </c>
      <c r="F30" t="s">
        <v>496</v>
      </c>
      <c r="G30" t="s">
        <v>495</v>
      </c>
      <c r="H30" t="s">
        <v>494</v>
      </c>
      <c r="I30" t="s">
        <v>496</v>
      </c>
      <c r="J30">
        <v>380060</v>
      </c>
      <c r="K30" t="b">
        <v>1</v>
      </c>
    </row>
    <row r="31" spans="1:11">
      <c r="A31" s="1" t="s">
        <v>26</v>
      </c>
      <c r="B31" t="str">
        <f t="shared" si="0"/>
        <v>Laxmiben Shantilal Shah, Ganesh Meridian</v>
      </c>
      <c r="C31" t="s">
        <v>499</v>
      </c>
      <c r="D31" t="s">
        <v>498</v>
      </c>
      <c r="E31" t="s">
        <v>497</v>
      </c>
      <c r="F31" t="s">
        <v>496</v>
      </c>
      <c r="G31" t="s">
        <v>495</v>
      </c>
      <c r="H31" t="s">
        <v>494</v>
      </c>
      <c r="I31" t="s">
        <v>496</v>
      </c>
      <c r="J31">
        <v>380060</v>
      </c>
      <c r="K31" t="b">
        <v>1</v>
      </c>
    </row>
    <row r="32" spans="1:11">
      <c r="A32" s="1" t="s">
        <v>135</v>
      </c>
      <c r="B32" t="str">
        <f t="shared" si="0"/>
        <v>Mr. Ravjibhai Nagarbhai patel , Ganesh Meridian</v>
      </c>
      <c r="C32" t="s">
        <v>499</v>
      </c>
      <c r="D32" t="s">
        <v>498</v>
      </c>
      <c r="E32" t="s">
        <v>497</v>
      </c>
      <c r="F32" t="s">
        <v>496</v>
      </c>
      <c r="G32" t="s">
        <v>495</v>
      </c>
      <c r="H32" t="s">
        <v>494</v>
      </c>
      <c r="I32" t="s">
        <v>496</v>
      </c>
      <c r="J32">
        <v>380060</v>
      </c>
      <c r="K32" t="b">
        <v>1</v>
      </c>
    </row>
    <row r="33" spans="1:11">
      <c r="A33" s="1" t="s">
        <v>193</v>
      </c>
      <c r="B33" t="str">
        <f t="shared" si="0"/>
        <v>Balark Chemicals, Ganesh Meridian</v>
      </c>
      <c r="C33" t="s">
        <v>499</v>
      </c>
      <c r="D33" t="s">
        <v>498</v>
      </c>
      <c r="E33" t="s">
        <v>497</v>
      </c>
      <c r="F33" t="s">
        <v>496</v>
      </c>
      <c r="G33" t="s">
        <v>495</v>
      </c>
      <c r="H33" t="s">
        <v>494</v>
      </c>
      <c r="I33" t="s">
        <v>496</v>
      </c>
      <c r="J33">
        <v>380060</v>
      </c>
      <c r="K33" t="b">
        <v>1</v>
      </c>
    </row>
    <row r="34" spans="1:11">
      <c r="A34" s="1" t="s">
        <v>358</v>
      </c>
      <c r="B34" t="str">
        <f t="shared" ref="B34:B65" si="1">A34 &amp; ", Ganesh Meridian"</f>
        <v>Moon Technolabs, Ganesh Meridian</v>
      </c>
      <c r="C34" t="s">
        <v>499</v>
      </c>
      <c r="D34" t="s">
        <v>498</v>
      </c>
      <c r="E34" t="s">
        <v>497</v>
      </c>
      <c r="F34" t="s">
        <v>496</v>
      </c>
      <c r="G34" t="s">
        <v>495</v>
      </c>
      <c r="H34" t="s">
        <v>494</v>
      </c>
      <c r="I34" t="s">
        <v>496</v>
      </c>
      <c r="J34">
        <v>380060</v>
      </c>
      <c r="K34" t="b">
        <v>1</v>
      </c>
    </row>
    <row r="35" spans="1:11">
      <c r="A35" s="1" t="s">
        <v>327</v>
      </c>
      <c r="B35" t="str">
        <f t="shared" si="1"/>
        <v>Mukeshbhai K Patel , Ganesh Meridian</v>
      </c>
      <c r="C35" t="s">
        <v>499</v>
      </c>
      <c r="D35" t="s">
        <v>498</v>
      </c>
      <c r="E35" t="s">
        <v>497</v>
      </c>
      <c r="F35" t="s">
        <v>496</v>
      </c>
      <c r="G35" t="s">
        <v>495</v>
      </c>
      <c r="H35" t="s">
        <v>494</v>
      </c>
      <c r="I35" t="s">
        <v>496</v>
      </c>
      <c r="J35">
        <v>380060</v>
      </c>
      <c r="K35" t="b">
        <v>1</v>
      </c>
    </row>
    <row r="36" spans="1:11">
      <c r="A36" s="1" t="s">
        <v>34</v>
      </c>
      <c r="B36" t="str">
        <f t="shared" si="1"/>
        <v>Vishwas Cafeteria, Ganesh Meridian</v>
      </c>
      <c r="C36" t="s">
        <v>499</v>
      </c>
      <c r="D36" t="s">
        <v>498</v>
      </c>
      <c r="E36" t="s">
        <v>497</v>
      </c>
      <c r="F36" t="s">
        <v>496</v>
      </c>
      <c r="G36" t="s">
        <v>495</v>
      </c>
      <c r="H36" t="s">
        <v>494</v>
      </c>
      <c r="I36" t="s">
        <v>496</v>
      </c>
      <c r="J36">
        <v>380060</v>
      </c>
      <c r="K36" t="b">
        <v>1</v>
      </c>
    </row>
    <row r="37" spans="1:11">
      <c r="A37" s="1" t="s">
        <v>6</v>
      </c>
      <c r="B37" t="str">
        <f t="shared" si="1"/>
        <v>Shree Siddhi Infrabuild Pvt Ltd, Ganesh Meridian</v>
      </c>
      <c r="C37" t="s">
        <v>499</v>
      </c>
      <c r="D37" t="s">
        <v>498</v>
      </c>
      <c r="E37" t="s">
        <v>497</v>
      </c>
      <c r="F37" t="s">
        <v>496</v>
      </c>
      <c r="G37" t="s">
        <v>495</v>
      </c>
      <c r="H37" t="s">
        <v>494</v>
      </c>
      <c r="I37" t="s">
        <v>496</v>
      </c>
      <c r="J37">
        <v>380060</v>
      </c>
      <c r="K37" t="b">
        <v>1</v>
      </c>
    </row>
    <row r="38" spans="1:11">
      <c r="A38" s="1" t="s">
        <v>217</v>
      </c>
      <c r="B38" t="str">
        <f t="shared" si="1"/>
        <v>Manj &amp; Associates, Ganesh Meridian</v>
      </c>
      <c r="C38" t="s">
        <v>499</v>
      </c>
      <c r="D38" t="s">
        <v>498</v>
      </c>
      <c r="E38" t="s">
        <v>497</v>
      </c>
      <c r="F38" t="s">
        <v>496</v>
      </c>
      <c r="G38" t="s">
        <v>495</v>
      </c>
      <c r="H38" t="s">
        <v>494</v>
      </c>
      <c r="I38" t="s">
        <v>496</v>
      </c>
      <c r="J38">
        <v>380060</v>
      </c>
      <c r="K38" t="b">
        <v>1</v>
      </c>
    </row>
    <row r="39" spans="1:11">
      <c r="A39" s="1" t="s">
        <v>42</v>
      </c>
      <c r="B39" t="str">
        <f t="shared" si="1"/>
        <v>Samir B Dalal, Ganesh Meridian</v>
      </c>
      <c r="C39" t="s">
        <v>499</v>
      </c>
      <c r="D39" t="s">
        <v>498</v>
      </c>
      <c r="E39" t="s">
        <v>497</v>
      </c>
      <c r="F39" t="s">
        <v>496</v>
      </c>
      <c r="G39" t="s">
        <v>495</v>
      </c>
      <c r="H39" t="s">
        <v>494</v>
      </c>
      <c r="I39" t="s">
        <v>496</v>
      </c>
      <c r="J39">
        <v>380060</v>
      </c>
      <c r="K39" t="b">
        <v>1</v>
      </c>
    </row>
    <row r="40" spans="1:11">
      <c r="A40" s="1" t="s">
        <v>297</v>
      </c>
      <c r="B40" t="str">
        <f t="shared" si="1"/>
        <v>Harnil Oza, Ganesh Meridian</v>
      </c>
      <c r="C40" t="s">
        <v>499</v>
      </c>
      <c r="D40" t="s">
        <v>498</v>
      </c>
      <c r="E40" t="s">
        <v>497</v>
      </c>
      <c r="F40" t="s">
        <v>496</v>
      </c>
      <c r="G40" t="s">
        <v>495</v>
      </c>
      <c r="H40" t="s">
        <v>494</v>
      </c>
      <c r="I40" t="s">
        <v>496</v>
      </c>
      <c r="J40">
        <v>380060</v>
      </c>
      <c r="K40" t="b">
        <v>1</v>
      </c>
    </row>
    <row r="41" spans="1:11">
      <c r="A41" s="1" t="s">
        <v>281</v>
      </c>
      <c r="B41" t="str">
        <f t="shared" si="1"/>
        <v>Manjula M Jaiswal, Ganesh Meridian</v>
      </c>
      <c r="C41" t="s">
        <v>499</v>
      </c>
      <c r="D41" t="s">
        <v>498</v>
      </c>
      <c r="E41" t="s">
        <v>497</v>
      </c>
      <c r="F41" t="s">
        <v>496</v>
      </c>
      <c r="G41" t="s">
        <v>495</v>
      </c>
      <c r="H41" t="s">
        <v>494</v>
      </c>
      <c r="I41" t="s">
        <v>496</v>
      </c>
      <c r="J41">
        <v>380060</v>
      </c>
      <c r="K41" t="b">
        <v>1</v>
      </c>
    </row>
    <row r="42" spans="1:11">
      <c r="A42" s="1" t="s">
        <v>410</v>
      </c>
      <c r="B42" t="str">
        <f t="shared" si="1"/>
        <v>Gujarat Apollo Industries Ltd, Ganesh Meridian</v>
      </c>
      <c r="C42" t="s">
        <v>499</v>
      </c>
      <c r="D42" t="s">
        <v>498</v>
      </c>
      <c r="E42" t="s">
        <v>497</v>
      </c>
      <c r="F42" t="s">
        <v>496</v>
      </c>
      <c r="G42" t="s">
        <v>495</v>
      </c>
      <c r="H42" t="s">
        <v>494</v>
      </c>
      <c r="I42" t="s">
        <v>496</v>
      </c>
      <c r="J42">
        <v>380060</v>
      </c>
      <c r="K42" t="b">
        <v>1</v>
      </c>
    </row>
    <row r="43" spans="1:11">
      <c r="A43" s="1" t="s">
        <v>152</v>
      </c>
      <c r="B43" t="str">
        <f t="shared" si="1"/>
        <v>Kishor P Sompura, Ganesh Meridian</v>
      </c>
      <c r="C43" t="s">
        <v>499</v>
      </c>
      <c r="D43" t="s">
        <v>498</v>
      </c>
      <c r="E43" t="s">
        <v>497</v>
      </c>
      <c r="F43" t="s">
        <v>496</v>
      </c>
      <c r="G43" t="s">
        <v>495</v>
      </c>
      <c r="H43" t="s">
        <v>494</v>
      </c>
      <c r="I43" t="s">
        <v>496</v>
      </c>
      <c r="J43">
        <v>380060</v>
      </c>
      <c r="K43" t="b">
        <v>1</v>
      </c>
    </row>
    <row r="44" spans="1:11">
      <c r="A44" s="1" t="s">
        <v>346</v>
      </c>
      <c r="B44" t="str">
        <f t="shared" si="1"/>
        <v>Maheshwari Sales Corp, Ganesh Meridian</v>
      </c>
      <c r="C44" t="s">
        <v>499</v>
      </c>
      <c r="D44" t="s">
        <v>498</v>
      </c>
      <c r="E44" t="s">
        <v>497</v>
      </c>
      <c r="F44" t="s">
        <v>496</v>
      </c>
      <c r="G44" t="s">
        <v>495</v>
      </c>
      <c r="H44" t="s">
        <v>494</v>
      </c>
      <c r="I44" t="s">
        <v>496</v>
      </c>
      <c r="J44">
        <v>380060</v>
      </c>
      <c r="K44" t="b">
        <v>1</v>
      </c>
    </row>
    <row r="45" spans="1:11">
      <c r="A45" s="1" t="s">
        <v>171</v>
      </c>
      <c r="B45" t="str">
        <f t="shared" si="1"/>
        <v>Palval Hair Transplant Clinic, Ganesh Meridian</v>
      </c>
      <c r="C45" t="s">
        <v>499</v>
      </c>
      <c r="D45" t="s">
        <v>498</v>
      </c>
      <c r="E45" t="s">
        <v>497</v>
      </c>
      <c r="F45" t="s">
        <v>496</v>
      </c>
      <c r="G45" t="s">
        <v>495</v>
      </c>
      <c r="H45" t="s">
        <v>494</v>
      </c>
      <c r="I45" t="s">
        <v>496</v>
      </c>
      <c r="J45">
        <v>380060</v>
      </c>
      <c r="K45" t="b">
        <v>1</v>
      </c>
    </row>
    <row r="46" spans="1:11">
      <c r="A46" s="1" t="s">
        <v>12</v>
      </c>
      <c r="B46" t="str">
        <f t="shared" si="1"/>
        <v>Akik Tiles Ltd., Ganesh Meridian</v>
      </c>
      <c r="C46" t="s">
        <v>499</v>
      </c>
      <c r="D46" t="s">
        <v>498</v>
      </c>
      <c r="E46" t="s">
        <v>497</v>
      </c>
      <c r="F46" t="s">
        <v>496</v>
      </c>
      <c r="G46" t="s">
        <v>495</v>
      </c>
      <c r="H46" t="s">
        <v>494</v>
      </c>
      <c r="I46" t="s">
        <v>496</v>
      </c>
      <c r="J46">
        <v>380060</v>
      </c>
      <c r="K46" t="b">
        <v>1</v>
      </c>
    </row>
    <row r="47" spans="1:11">
      <c r="A47" s="1" t="s">
        <v>319</v>
      </c>
      <c r="B47" t="str">
        <f t="shared" si="1"/>
        <v>Harnil Bhargav Oza, Ganesh Meridian</v>
      </c>
      <c r="C47" t="s">
        <v>499</v>
      </c>
      <c r="D47" t="s">
        <v>498</v>
      </c>
      <c r="E47" t="s">
        <v>497</v>
      </c>
      <c r="F47" t="s">
        <v>496</v>
      </c>
      <c r="G47" t="s">
        <v>495</v>
      </c>
      <c r="H47" t="s">
        <v>494</v>
      </c>
      <c r="I47" t="s">
        <v>496</v>
      </c>
      <c r="J47">
        <v>380060</v>
      </c>
      <c r="K47" t="b">
        <v>1</v>
      </c>
    </row>
    <row r="48" spans="1:11">
      <c r="A48" s="1" t="s">
        <v>211</v>
      </c>
      <c r="B48" t="str">
        <f t="shared" si="1"/>
        <v>Solderma Pharma, Ganesh Meridian</v>
      </c>
      <c r="C48" t="s">
        <v>499</v>
      </c>
      <c r="D48" t="s">
        <v>498</v>
      </c>
      <c r="E48" t="s">
        <v>497</v>
      </c>
      <c r="F48" t="s">
        <v>496</v>
      </c>
      <c r="G48" t="s">
        <v>495</v>
      </c>
      <c r="H48" t="s">
        <v>494</v>
      </c>
      <c r="I48" t="s">
        <v>496</v>
      </c>
      <c r="J48">
        <v>380060</v>
      </c>
      <c r="K48" t="b">
        <v>1</v>
      </c>
    </row>
    <row r="49" spans="1:11">
      <c r="A49" s="1" t="s">
        <v>185</v>
      </c>
      <c r="B49" t="str">
        <f t="shared" si="1"/>
        <v>Bharat Pesticides Industries Pv, Ganesh Meridian</v>
      </c>
      <c r="C49" t="s">
        <v>499</v>
      </c>
      <c r="D49" t="s">
        <v>498</v>
      </c>
      <c r="E49" t="s">
        <v>497</v>
      </c>
      <c r="F49" t="s">
        <v>496</v>
      </c>
      <c r="G49" t="s">
        <v>495</v>
      </c>
      <c r="H49" t="s">
        <v>494</v>
      </c>
      <c r="I49" t="s">
        <v>496</v>
      </c>
      <c r="J49">
        <v>380060</v>
      </c>
      <c r="K49" t="b">
        <v>1</v>
      </c>
    </row>
    <row r="50" spans="1:11">
      <c r="A50" s="1" t="s">
        <v>444</v>
      </c>
      <c r="B50" t="str">
        <f t="shared" si="1"/>
        <v>Letsnurture Infotech Pvt Ltd, Ganesh Meridian</v>
      </c>
      <c r="C50" t="s">
        <v>499</v>
      </c>
      <c r="D50" t="s">
        <v>498</v>
      </c>
      <c r="E50" t="s">
        <v>497</v>
      </c>
      <c r="F50" t="s">
        <v>496</v>
      </c>
      <c r="G50" t="s">
        <v>495</v>
      </c>
      <c r="H50" t="s">
        <v>494</v>
      </c>
      <c r="I50" t="s">
        <v>496</v>
      </c>
      <c r="J50">
        <v>380060</v>
      </c>
      <c r="K50" t="b">
        <v>1</v>
      </c>
    </row>
    <row r="51" spans="1:11">
      <c r="A51" s="1" t="s">
        <v>16</v>
      </c>
      <c r="B51" t="str">
        <f t="shared" si="1"/>
        <v>Astron Paper&amp;Board Ltd, Ganesh Meridian</v>
      </c>
      <c r="C51" t="s">
        <v>499</v>
      </c>
      <c r="D51" t="s">
        <v>498</v>
      </c>
      <c r="E51" t="s">
        <v>497</v>
      </c>
      <c r="F51" t="s">
        <v>496</v>
      </c>
      <c r="G51" t="s">
        <v>495</v>
      </c>
      <c r="H51" t="s">
        <v>494</v>
      </c>
      <c r="I51" t="s">
        <v>496</v>
      </c>
      <c r="J51">
        <v>380060</v>
      </c>
      <c r="K51" t="b">
        <v>1</v>
      </c>
    </row>
    <row r="52" spans="1:11">
      <c r="A52" s="1" t="s">
        <v>201</v>
      </c>
      <c r="B52" t="str">
        <f t="shared" si="1"/>
        <v>Mukeshbhai Panchal, Ganesh Meridian</v>
      </c>
      <c r="C52" t="s">
        <v>499</v>
      </c>
      <c r="D52" t="s">
        <v>498</v>
      </c>
      <c r="E52" t="s">
        <v>497</v>
      </c>
      <c r="F52" t="s">
        <v>496</v>
      </c>
      <c r="G52" t="s">
        <v>495</v>
      </c>
      <c r="H52" t="s">
        <v>494</v>
      </c>
      <c r="I52" t="s">
        <v>496</v>
      </c>
      <c r="J52">
        <v>380060</v>
      </c>
      <c r="K52" t="b">
        <v>1</v>
      </c>
    </row>
    <row r="53" spans="1:11">
      <c r="A53" s="1" t="s">
        <v>428</v>
      </c>
      <c r="B53" t="str">
        <f t="shared" si="1"/>
        <v>Daksaben Sureshbhai Prajapati, Ganesh Meridian</v>
      </c>
      <c r="C53" t="s">
        <v>499</v>
      </c>
      <c r="D53" t="s">
        <v>498</v>
      </c>
      <c r="E53" t="s">
        <v>497</v>
      </c>
      <c r="F53" t="s">
        <v>496</v>
      </c>
      <c r="G53" t="s">
        <v>495</v>
      </c>
      <c r="H53" t="s">
        <v>494</v>
      </c>
      <c r="I53" t="s">
        <v>496</v>
      </c>
      <c r="J53">
        <v>380060</v>
      </c>
      <c r="K53" t="b">
        <v>1</v>
      </c>
    </row>
    <row r="54" spans="1:11">
      <c r="A54" s="1" t="s">
        <v>448</v>
      </c>
      <c r="B54" t="str">
        <f t="shared" si="1"/>
        <v>Gauravkumar D Patel , Ganesh Meridian</v>
      </c>
      <c r="C54" t="s">
        <v>499</v>
      </c>
      <c r="D54" t="s">
        <v>498</v>
      </c>
      <c r="E54" t="s">
        <v>497</v>
      </c>
      <c r="F54" t="s">
        <v>496</v>
      </c>
      <c r="G54" t="s">
        <v>495</v>
      </c>
      <c r="H54" t="s">
        <v>494</v>
      </c>
      <c r="I54" t="s">
        <v>496</v>
      </c>
      <c r="J54">
        <v>380060</v>
      </c>
      <c r="K54" t="b">
        <v>1</v>
      </c>
    </row>
    <row r="55" spans="1:11">
      <c r="A55" s="1" t="s">
        <v>158</v>
      </c>
      <c r="B55" t="str">
        <f t="shared" si="1"/>
        <v>Niral Rashmikant Mehta, Ganesh Meridian</v>
      </c>
      <c r="C55" t="s">
        <v>499</v>
      </c>
      <c r="D55" t="s">
        <v>498</v>
      </c>
      <c r="E55" t="s">
        <v>497</v>
      </c>
      <c r="F55" t="s">
        <v>496</v>
      </c>
      <c r="G55" t="s">
        <v>495</v>
      </c>
      <c r="H55" t="s">
        <v>494</v>
      </c>
      <c r="I55" t="s">
        <v>496</v>
      </c>
      <c r="J55">
        <v>380060</v>
      </c>
      <c r="K55" t="b">
        <v>1</v>
      </c>
    </row>
    <row r="56" spans="1:11">
      <c r="A56" s="1" t="s">
        <v>273</v>
      </c>
      <c r="B56" t="str">
        <f t="shared" si="1"/>
        <v>Shreemali Daxaben Maheshbhai, Ganesh Meridian</v>
      </c>
      <c r="C56" t="s">
        <v>499</v>
      </c>
      <c r="D56" t="s">
        <v>498</v>
      </c>
      <c r="E56" t="s">
        <v>497</v>
      </c>
      <c r="F56" t="s">
        <v>496</v>
      </c>
      <c r="G56" t="s">
        <v>495</v>
      </c>
      <c r="H56" t="s">
        <v>494</v>
      </c>
      <c r="I56" t="s">
        <v>496</v>
      </c>
      <c r="J56">
        <v>380060</v>
      </c>
      <c r="K56" t="b">
        <v>1</v>
      </c>
    </row>
    <row r="57" spans="1:11">
      <c r="A57" s="1" t="s">
        <v>242</v>
      </c>
      <c r="B57" t="str">
        <f t="shared" si="1"/>
        <v>Nareshbhai Dahyabhai Patel, Ganesh Meridian</v>
      </c>
      <c r="C57" t="s">
        <v>499</v>
      </c>
      <c r="D57" t="s">
        <v>498</v>
      </c>
      <c r="E57" t="s">
        <v>497</v>
      </c>
      <c r="F57" t="s">
        <v>496</v>
      </c>
      <c r="G57" t="s">
        <v>495</v>
      </c>
      <c r="H57" t="s">
        <v>494</v>
      </c>
      <c r="I57" t="s">
        <v>496</v>
      </c>
      <c r="J57">
        <v>380060</v>
      </c>
      <c r="K57" t="b">
        <v>1</v>
      </c>
    </row>
    <row r="58" spans="1:11">
      <c r="A58" s="2" t="s">
        <v>20</v>
      </c>
      <c r="B58" t="str">
        <f t="shared" si="1"/>
        <v>Jitendra B Patel, Ganesh Meridian</v>
      </c>
      <c r="C58" t="s">
        <v>499</v>
      </c>
      <c r="D58" t="s">
        <v>498</v>
      </c>
      <c r="E58" t="s">
        <v>497</v>
      </c>
      <c r="F58" t="s">
        <v>496</v>
      </c>
      <c r="G58" t="s">
        <v>495</v>
      </c>
      <c r="H58" t="s">
        <v>494</v>
      </c>
      <c r="I58" t="s">
        <v>496</v>
      </c>
      <c r="J58">
        <v>380060</v>
      </c>
      <c r="K58" t="b">
        <v>1</v>
      </c>
    </row>
    <row r="59" spans="1:11">
      <c r="A59" s="2" t="s">
        <v>148</v>
      </c>
      <c r="B59" t="str">
        <f t="shared" si="1"/>
        <v>Nathalal Babulal Jani, Ganesh Meridian</v>
      </c>
      <c r="C59" t="s">
        <v>499</v>
      </c>
      <c r="D59" t="s">
        <v>498</v>
      </c>
      <c r="E59" t="s">
        <v>497</v>
      </c>
      <c r="F59" t="s">
        <v>496</v>
      </c>
      <c r="G59" t="s">
        <v>495</v>
      </c>
      <c r="H59" t="s">
        <v>494</v>
      </c>
      <c r="I59" t="s">
        <v>496</v>
      </c>
      <c r="J59">
        <v>380060</v>
      </c>
      <c r="K59" t="b">
        <v>1</v>
      </c>
    </row>
    <row r="60" spans="1:11">
      <c r="A60" s="1" t="s">
        <v>250</v>
      </c>
      <c r="B60" t="str">
        <f t="shared" si="1"/>
        <v>Harshaben Mineshbhai Solanki, Ganesh Meridian</v>
      </c>
      <c r="C60" t="s">
        <v>499</v>
      </c>
      <c r="D60" t="s">
        <v>498</v>
      </c>
      <c r="E60" t="s">
        <v>497</v>
      </c>
      <c r="F60" t="s">
        <v>496</v>
      </c>
      <c r="G60" t="s">
        <v>495</v>
      </c>
      <c r="H60" t="s">
        <v>494</v>
      </c>
      <c r="I60" t="s">
        <v>496</v>
      </c>
      <c r="J60">
        <v>380060</v>
      </c>
      <c r="K60" t="b">
        <v>1</v>
      </c>
    </row>
    <row r="61" spans="1:11">
      <c r="A61" s="1" t="s">
        <v>366</v>
      </c>
      <c r="B61" t="str">
        <f t="shared" si="1"/>
        <v>Shweta Suha, Ganesh Meridian</v>
      </c>
      <c r="C61" t="s">
        <v>499</v>
      </c>
      <c r="D61" t="s">
        <v>498</v>
      </c>
      <c r="E61" t="s">
        <v>497</v>
      </c>
      <c r="F61" t="s">
        <v>496</v>
      </c>
      <c r="G61" t="s">
        <v>495</v>
      </c>
      <c r="H61" t="s">
        <v>494</v>
      </c>
      <c r="I61" t="s">
        <v>496</v>
      </c>
      <c r="J61">
        <v>380060</v>
      </c>
      <c r="K61" t="b">
        <v>1</v>
      </c>
    </row>
    <row r="62" spans="1:11">
      <c r="A62" s="1" t="s">
        <v>233</v>
      </c>
      <c r="B62" t="str">
        <f t="shared" si="1"/>
        <v>Tribhovanbhai R Patel , Ganesh Meridian</v>
      </c>
      <c r="C62" t="s">
        <v>499</v>
      </c>
      <c r="D62" t="s">
        <v>498</v>
      </c>
      <c r="E62" t="s">
        <v>497</v>
      </c>
      <c r="F62" t="s">
        <v>496</v>
      </c>
      <c r="G62" t="s">
        <v>495</v>
      </c>
      <c r="H62" t="s">
        <v>494</v>
      </c>
      <c r="I62" t="s">
        <v>496</v>
      </c>
      <c r="J62">
        <v>380060</v>
      </c>
      <c r="K62" t="b">
        <v>1</v>
      </c>
    </row>
    <row r="63" spans="1:11">
      <c r="A63" s="1" t="s">
        <v>156</v>
      </c>
      <c r="B63" t="str">
        <f t="shared" si="1"/>
        <v>Mamtadevi Shreykumar Dugar, Ganesh Meridian</v>
      </c>
      <c r="C63" t="s">
        <v>499</v>
      </c>
      <c r="D63" t="s">
        <v>498</v>
      </c>
      <c r="E63" t="s">
        <v>497</v>
      </c>
      <c r="F63" t="s">
        <v>496</v>
      </c>
      <c r="G63" t="s">
        <v>495</v>
      </c>
      <c r="H63" t="s">
        <v>494</v>
      </c>
      <c r="I63" t="s">
        <v>496</v>
      </c>
      <c r="J63">
        <v>380060</v>
      </c>
      <c r="K63" t="b">
        <v>1</v>
      </c>
    </row>
    <row r="64" spans="1:11">
      <c r="A64" s="1" t="s">
        <v>463</v>
      </c>
      <c r="B64" t="str">
        <f t="shared" si="1"/>
        <v>Gujarat First, Ganesh Meridian</v>
      </c>
      <c r="C64" t="s">
        <v>499</v>
      </c>
      <c r="D64" t="s">
        <v>498</v>
      </c>
      <c r="E64" t="s">
        <v>497</v>
      </c>
      <c r="F64" t="s">
        <v>496</v>
      </c>
      <c r="G64" t="s">
        <v>495</v>
      </c>
      <c r="H64" t="s">
        <v>494</v>
      </c>
      <c r="I64" t="s">
        <v>496</v>
      </c>
      <c r="J64">
        <v>380060</v>
      </c>
      <c r="K64" t="b">
        <v>1</v>
      </c>
    </row>
    <row r="65" spans="1:11">
      <c r="A65" s="1" t="s">
        <v>420</v>
      </c>
      <c r="B65" t="str">
        <f t="shared" si="1"/>
        <v>Chetan Control System, Ganesh Meridian</v>
      </c>
      <c r="C65" t="s">
        <v>499</v>
      </c>
      <c r="D65" t="s">
        <v>498</v>
      </c>
      <c r="E65" t="s">
        <v>497</v>
      </c>
      <c r="F65" t="s">
        <v>496</v>
      </c>
      <c r="G65" t="s">
        <v>495</v>
      </c>
      <c r="H65" t="s">
        <v>494</v>
      </c>
      <c r="I65" t="s">
        <v>496</v>
      </c>
      <c r="J65">
        <v>380060</v>
      </c>
      <c r="K65" t="b">
        <v>1</v>
      </c>
    </row>
    <row r="66" spans="1:11">
      <c r="A66" s="1" t="s">
        <v>1</v>
      </c>
      <c r="B66" t="str">
        <f t="shared" ref="B66:B97" si="2">A66 &amp; ", Ganesh Meridian"</f>
        <v>Mitul Tradelink Pvt Ltd, Ganesh Meridian</v>
      </c>
      <c r="C66" t="s">
        <v>499</v>
      </c>
      <c r="D66" t="s">
        <v>498</v>
      </c>
      <c r="E66" t="s">
        <v>497</v>
      </c>
      <c r="F66" t="s">
        <v>496</v>
      </c>
      <c r="G66" t="s">
        <v>495</v>
      </c>
      <c r="H66" t="s">
        <v>494</v>
      </c>
      <c r="I66" t="s">
        <v>496</v>
      </c>
      <c r="J66">
        <v>380060</v>
      </c>
      <c r="K66" t="b">
        <v>1</v>
      </c>
    </row>
    <row r="67" spans="1:11">
      <c r="A67" s="1" t="s">
        <v>10</v>
      </c>
      <c r="B67" t="str">
        <f t="shared" si="2"/>
        <v>Maheshbhai Nayak, Ganesh Meridian</v>
      </c>
      <c r="C67" t="s">
        <v>499</v>
      </c>
      <c r="D67" t="s">
        <v>498</v>
      </c>
      <c r="E67" t="s">
        <v>497</v>
      </c>
      <c r="F67" t="s">
        <v>496</v>
      </c>
      <c r="G67" t="s">
        <v>495</v>
      </c>
      <c r="H67" t="s">
        <v>494</v>
      </c>
      <c r="I67" t="s">
        <v>496</v>
      </c>
      <c r="J67">
        <v>380060</v>
      </c>
      <c r="K67" t="b">
        <v>1</v>
      </c>
    </row>
    <row r="68" spans="1:11">
      <c r="A68" s="1" t="s">
        <v>321</v>
      </c>
      <c r="B68" t="str">
        <f t="shared" si="2"/>
        <v>MellAdmin Consultancy Pvt Ltd, Ganesh Meridian</v>
      </c>
      <c r="C68" t="s">
        <v>499</v>
      </c>
      <c r="D68" t="s">
        <v>498</v>
      </c>
      <c r="E68" t="s">
        <v>497</v>
      </c>
      <c r="F68" t="s">
        <v>496</v>
      </c>
      <c r="G68" t="s">
        <v>495</v>
      </c>
      <c r="H68" t="s">
        <v>494</v>
      </c>
      <c r="I68" t="s">
        <v>496</v>
      </c>
      <c r="J68">
        <v>380060</v>
      </c>
      <c r="K68" t="b">
        <v>1</v>
      </c>
    </row>
    <row r="69" spans="1:11">
      <c r="A69" s="1" t="s">
        <v>285</v>
      </c>
      <c r="B69" t="str">
        <f t="shared" si="2"/>
        <v>M_s. Shiv Corporation, Ganesh Meridian</v>
      </c>
      <c r="C69" t="s">
        <v>499</v>
      </c>
      <c r="D69" t="s">
        <v>498</v>
      </c>
      <c r="E69" t="s">
        <v>497</v>
      </c>
      <c r="F69" t="s">
        <v>496</v>
      </c>
      <c r="G69" t="s">
        <v>495</v>
      </c>
      <c r="H69" t="s">
        <v>494</v>
      </c>
      <c r="I69" t="s">
        <v>496</v>
      </c>
      <c r="J69">
        <v>380060</v>
      </c>
      <c r="K69" t="b">
        <v>1</v>
      </c>
    </row>
    <row r="70" spans="1:11">
      <c r="A70" s="1" t="s">
        <v>350</v>
      </c>
      <c r="B70" t="str">
        <f t="shared" si="2"/>
        <v>Jayanti N Katariya, Ganesh Meridian</v>
      </c>
      <c r="C70" t="s">
        <v>499</v>
      </c>
      <c r="D70" t="s">
        <v>498</v>
      </c>
      <c r="E70" t="s">
        <v>497</v>
      </c>
      <c r="F70" t="s">
        <v>496</v>
      </c>
      <c r="G70" t="s">
        <v>495</v>
      </c>
      <c r="H70" t="s">
        <v>494</v>
      </c>
      <c r="I70" t="s">
        <v>496</v>
      </c>
      <c r="J70">
        <v>380060</v>
      </c>
      <c r="K70" t="b">
        <v>1</v>
      </c>
    </row>
    <row r="71" spans="1:11">
      <c r="A71" s="1" t="s">
        <v>14</v>
      </c>
      <c r="B71" t="str">
        <f t="shared" si="2"/>
        <v>Sureshbhai R Patel, Ganesh Meridian</v>
      </c>
      <c r="C71" t="s">
        <v>499</v>
      </c>
      <c r="D71" t="s">
        <v>498</v>
      </c>
      <c r="E71" t="s">
        <v>497</v>
      </c>
      <c r="F71" t="s">
        <v>496</v>
      </c>
      <c r="G71" t="s">
        <v>495</v>
      </c>
      <c r="H71" t="s">
        <v>494</v>
      </c>
      <c r="I71" t="s">
        <v>496</v>
      </c>
      <c r="J71">
        <v>380060</v>
      </c>
      <c r="K71" t="b">
        <v>1</v>
      </c>
    </row>
    <row r="72" spans="1:11">
      <c r="A72" s="1" t="s">
        <v>240</v>
      </c>
      <c r="B72" t="str">
        <f t="shared" si="2"/>
        <v>Devang J Joshi, Ganesh Meridian</v>
      </c>
      <c r="C72" t="s">
        <v>499</v>
      </c>
      <c r="D72" t="s">
        <v>498</v>
      </c>
      <c r="E72" t="s">
        <v>497</v>
      </c>
      <c r="F72" t="s">
        <v>496</v>
      </c>
      <c r="G72" t="s">
        <v>495</v>
      </c>
      <c r="H72" t="s">
        <v>494</v>
      </c>
      <c r="I72" t="s">
        <v>496</v>
      </c>
      <c r="J72">
        <v>380060</v>
      </c>
      <c r="K72" t="b">
        <v>1</v>
      </c>
    </row>
    <row r="73" spans="1:11">
      <c r="A73" s="1" t="s">
        <v>325</v>
      </c>
      <c r="B73" t="str">
        <f t="shared" si="2"/>
        <v>MH Xorbian Tech Pvt Ltd, Ganesh Meridian</v>
      </c>
      <c r="C73" t="s">
        <v>499</v>
      </c>
      <c r="D73" t="s">
        <v>498</v>
      </c>
      <c r="E73" t="s">
        <v>497</v>
      </c>
      <c r="F73" t="s">
        <v>496</v>
      </c>
      <c r="G73" t="s">
        <v>495</v>
      </c>
      <c r="H73" t="s">
        <v>494</v>
      </c>
      <c r="I73" t="s">
        <v>496</v>
      </c>
      <c r="J73">
        <v>380060</v>
      </c>
      <c r="K73" t="b">
        <v>1</v>
      </c>
    </row>
    <row r="74" spans="1:11">
      <c r="A74" s="1" t="s">
        <v>263</v>
      </c>
      <c r="B74" t="str">
        <f t="shared" si="2"/>
        <v>Meenu Chandramohan Kumar, Ganesh Meridian</v>
      </c>
      <c r="C74" t="s">
        <v>499</v>
      </c>
      <c r="D74" t="s">
        <v>498</v>
      </c>
      <c r="E74" t="s">
        <v>497</v>
      </c>
      <c r="F74" t="s">
        <v>496</v>
      </c>
      <c r="G74" t="s">
        <v>495</v>
      </c>
      <c r="H74" t="s">
        <v>494</v>
      </c>
      <c r="I74" t="s">
        <v>496</v>
      </c>
      <c r="J74">
        <v>380060</v>
      </c>
      <c r="K74" t="b">
        <v>1</v>
      </c>
    </row>
    <row r="75" spans="1:11">
      <c r="A75" s="1" t="s">
        <v>317</v>
      </c>
      <c r="B75" t="str">
        <f t="shared" si="2"/>
        <v>Yogendra M Thakore, Ganesh Meridian</v>
      </c>
      <c r="C75" t="s">
        <v>499</v>
      </c>
      <c r="D75" t="s">
        <v>498</v>
      </c>
      <c r="E75" t="s">
        <v>497</v>
      </c>
      <c r="F75" t="s">
        <v>496</v>
      </c>
      <c r="G75" t="s">
        <v>495</v>
      </c>
      <c r="H75" t="s">
        <v>494</v>
      </c>
      <c r="I75" t="s">
        <v>496</v>
      </c>
      <c r="J75">
        <v>380060</v>
      </c>
      <c r="K75" t="b">
        <v>1</v>
      </c>
    </row>
    <row r="76" spans="1:11">
      <c r="A76" s="1" t="s">
        <v>438</v>
      </c>
      <c r="B76" t="str">
        <f t="shared" si="2"/>
        <v>Anuj Ashokkumar Modi, Ganesh Meridian</v>
      </c>
      <c r="C76" t="s">
        <v>499</v>
      </c>
      <c r="D76" t="s">
        <v>498</v>
      </c>
      <c r="E76" t="s">
        <v>497</v>
      </c>
      <c r="F76" t="s">
        <v>496</v>
      </c>
      <c r="G76" t="s">
        <v>495</v>
      </c>
      <c r="H76" t="s">
        <v>494</v>
      </c>
      <c r="I76" t="s">
        <v>496</v>
      </c>
      <c r="J76">
        <v>380060</v>
      </c>
      <c r="K76" t="b">
        <v>1</v>
      </c>
    </row>
    <row r="77" spans="1:11">
      <c r="A77" s="1" t="s">
        <v>393</v>
      </c>
      <c r="B77" t="str">
        <f t="shared" si="2"/>
        <v>Jaykumar Rajnikant Sitapara, Ganesh Meridian</v>
      </c>
      <c r="C77" t="s">
        <v>499</v>
      </c>
      <c r="D77" t="s">
        <v>498</v>
      </c>
      <c r="E77" t="s">
        <v>497</v>
      </c>
      <c r="F77" t="s">
        <v>496</v>
      </c>
      <c r="G77" t="s">
        <v>495</v>
      </c>
      <c r="H77" t="s">
        <v>494</v>
      </c>
      <c r="I77" t="s">
        <v>496</v>
      </c>
      <c r="J77">
        <v>380060</v>
      </c>
      <c r="K77" t="b">
        <v>1</v>
      </c>
    </row>
    <row r="78" spans="1:11">
      <c r="A78" s="1" t="s">
        <v>335</v>
      </c>
      <c r="B78" t="str">
        <f t="shared" si="2"/>
        <v>Multidots Solutions Pvt Ltd, Ganesh Meridian</v>
      </c>
      <c r="C78" t="s">
        <v>499</v>
      </c>
      <c r="D78" t="s">
        <v>498</v>
      </c>
      <c r="E78" t="s">
        <v>497</v>
      </c>
      <c r="F78" t="s">
        <v>496</v>
      </c>
      <c r="G78" t="s">
        <v>495</v>
      </c>
      <c r="H78" t="s">
        <v>494</v>
      </c>
      <c r="I78" t="s">
        <v>496</v>
      </c>
      <c r="J78">
        <v>380060</v>
      </c>
      <c r="K78" t="b">
        <v>1</v>
      </c>
    </row>
    <row r="79" spans="1:11">
      <c r="A79" s="1" t="s">
        <v>115</v>
      </c>
      <c r="B79" t="str">
        <f t="shared" si="2"/>
        <v>J.K. Plastopack P. Ltd, Ganesh Meridian</v>
      </c>
      <c r="C79" t="s">
        <v>499</v>
      </c>
      <c r="D79" t="s">
        <v>498</v>
      </c>
      <c r="E79" t="s">
        <v>497</v>
      </c>
      <c r="F79" t="s">
        <v>496</v>
      </c>
      <c r="G79" t="s">
        <v>495</v>
      </c>
      <c r="H79" t="s">
        <v>494</v>
      </c>
      <c r="I79" t="s">
        <v>496</v>
      </c>
      <c r="J79">
        <v>380060</v>
      </c>
      <c r="K79" t="b">
        <v>1</v>
      </c>
    </row>
    <row r="80" spans="1:11">
      <c r="A80" s="1" t="s">
        <v>22</v>
      </c>
      <c r="B80" t="str">
        <f t="shared" si="2"/>
        <v>S.A. Sumara, Ganesh Meridian</v>
      </c>
      <c r="C80" t="s">
        <v>499</v>
      </c>
      <c r="D80" t="s">
        <v>498</v>
      </c>
      <c r="E80" t="s">
        <v>497</v>
      </c>
      <c r="F80" t="s">
        <v>496</v>
      </c>
      <c r="G80" t="s">
        <v>495</v>
      </c>
      <c r="H80" t="s">
        <v>494</v>
      </c>
      <c r="I80" t="s">
        <v>496</v>
      </c>
      <c r="J80">
        <v>380060</v>
      </c>
      <c r="K80" t="b">
        <v>1</v>
      </c>
    </row>
    <row r="81" spans="1:11">
      <c r="A81" s="1" t="s">
        <v>389</v>
      </c>
      <c r="B81" t="str">
        <f t="shared" si="2"/>
        <v>Jagdish S Dholu, Ganesh Meridian</v>
      </c>
      <c r="C81" t="s">
        <v>499</v>
      </c>
      <c r="D81" t="s">
        <v>498</v>
      </c>
      <c r="E81" t="s">
        <v>497</v>
      </c>
      <c r="F81" t="s">
        <v>496</v>
      </c>
      <c r="G81" t="s">
        <v>495</v>
      </c>
      <c r="H81" t="s">
        <v>494</v>
      </c>
      <c r="I81" t="s">
        <v>496</v>
      </c>
      <c r="J81">
        <v>380060</v>
      </c>
      <c r="K81" t="b">
        <v>1</v>
      </c>
    </row>
    <row r="82" spans="1:11">
      <c r="A82" s="1" t="s">
        <v>213</v>
      </c>
      <c r="B82" t="str">
        <f t="shared" si="2"/>
        <v>Keshavlal Sohanlal Jain, Ganesh Meridian</v>
      </c>
      <c r="C82" t="s">
        <v>499</v>
      </c>
      <c r="D82" t="s">
        <v>498</v>
      </c>
      <c r="E82" t="s">
        <v>497</v>
      </c>
      <c r="F82" t="s">
        <v>496</v>
      </c>
      <c r="G82" t="s">
        <v>495</v>
      </c>
      <c r="H82" t="s">
        <v>494</v>
      </c>
      <c r="I82" t="s">
        <v>496</v>
      </c>
      <c r="J82">
        <v>380060</v>
      </c>
      <c r="K82" t="b">
        <v>1</v>
      </c>
    </row>
    <row r="83" spans="1:11">
      <c r="A83" s="1" t="s">
        <v>123</v>
      </c>
      <c r="B83" t="str">
        <f t="shared" si="2"/>
        <v>Mehsana Dist Co Op Milk Pro, Ganesh Meridian</v>
      </c>
      <c r="C83" t="s">
        <v>499</v>
      </c>
      <c r="D83" t="s">
        <v>498</v>
      </c>
      <c r="E83" t="s">
        <v>497</v>
      </c>
      <c r="F83" t="s">
        <v>496</v>
      </c>
      <c r="G83" t="s">
        <v>495</v>
      </c>
      <c r="H83" t="s">
        <v>494</v>
      </c>
      <c r="I83" t="s">
        <v>496</v>
      </c>
      <c r="J83">
        <v>380060</v>
      </c>
      <c r="K83" t="b">
        <v>1</v>
      </c>
    </row>
    <row r="84" spans="1:11">
      <c r="A84" s="1" t="s">
        <v>146</v>
      </c>
      <c r="B84" t="str">
        <f t="shared" si="2"/>
        <v>The Grid, Ganesh Meridian</v>
      </c>
      <c r="C84" t="s">
        <v>499</v>
      </c>
      <c r="D84" t="s">
        <v>498</v>
      </c>
      <c r="E84" t="s">
        <v>497</v>
      </c>
      <c r="F84" t="s">
        <v>496</v>
      </c>
      <c r="G84" t="s">
        <v>495</v>
      </c>
      <c r="H84" t="s">
        <v>494</v>
      </c>
      <c r="I84" t="s">
        <v>496</v>
      </c>
      <c r="J84">
        <v>380060</v>
      </c>
      <c r="K84" t="b">
        <v>1</v>
      </c>
    </row>
    <row r="85" spans="1:11">
      <c r="A85" s="1" t="s">
        <v>131</v>
      </c>
      <c r="B85" t="str">
        <f t="shared" si="2"/>
        <v>Dipak Chandulal Bhavsar , Ganesh Meridian</v>
      </c>
      <c r="C85" t="s">
        <v>499</v>
      </c>
      <c r="D85" t="s">
        <v>498</v>
      </c>
      <c r="E85" t="s">
        <v>497</v>
      </c>
      <c r="F85" t="s">
        <v>496</v>
      </c>
      <c r="G85" t="s">
        <v>495</v>
      </c>
      <c r="H85" t="s">
        <v>494</v>
      </c>
      <c r="I85" t="s">
        <v>496</v>
      </c>
      <c r="J85">
        <v>380060</v>
      </c>
      <c r="K85" t="b">
        <v>1</v>
      </c>
    </row>
    <row r="86" spans="1:11">
      <c r="A86" s="1" t="s">
        <v>235</v>
      </c>
      <c r="B86" t="str">
        <f t="shared" si="2"/>
        <v>Ramdev Resins Pvt Ltd, Ganesh Meridian</v>
      </c>
      <c r="C86" t="s">
        <v>499</v>
      </c>
      <c r="D86" t="s">
        <v>498</v>
      </c>
      <c r="E86" t="s">
        <v>497</v>
      </c>
      <c r="F86" t="s">
        <v>496</v>
      </c>
      <c r="G86" t="s">
        <v>495</v>
      </c>
      <c r="H86" t="s">
        <v>494</v>
      </c>
      <c r="I86" t="s">
        <v>496</v>
      </c>
      <c r="J86">
        <v>380060</v>
      </c>
      <c r="K86" t="b">
        <v>1</v>
      </c>
    </row>
    <row r="87" spans="1:11">
      <c r="A87" s="1" t="s">
        <v>412</v>
      </c>
      <c r="B87" t="str">
        <f t="shared" si="2"/>
        <v>Kumaresh K Trivedi, Ganesh Meridian</v>
      </c>
      <c r="C87" t="s">
        <v>499</v>
      </c>
      <c r="D87" t="s">
        <v>498</v>
      </c>
      <c r="E87" t="s">
        <v>497</v>
      </c>
      <c r="F87" t="s">
        <v>496</v>
      </c>
      <c r="G87" t="s">
        <v>495</v>
      </c>
      <c r="H87" t="s">
        <v>494</v>
      </c>
      <c r="I87" t="s">
        <v>496</v>
      </c>
      <c r="J87">
        <v>380060</v>
      </c>
      <c r="K87" t="b">
        <v>1</v>
      </c>
    </row>
    <row r="88" spans="1:11">
      <c r="A88" s="1" t="s">
        <v>387</v>
      </c>
      <c r="B88" t="str">
        <f t="shared" si="2"/>
        <v>Meenaben Ganpatbhai Patel, Ganesh Meridian</v>
      </c>
      <c r="C88" t="s">
        <v>499</v>
      </c>
      <c r="D88" t="s">
        <v>498</v>
      </c>
      <c r="E88" t="s">
        <v>497</v>
      </c>
      <c r="F88" t="s">
        <v>496</v>
      </c>
      <c r="G88" t="s">
        <v>495</v>
      </c>
      <c r="H88" t="s">
        <v>494</v>
      </c>
      <c r="I88" t="s">
        <v>496</v>
      </c>
      <c r="J88">
        <v>380060</v>
      </c>
      <c r="K88" t="b">
        <v>1</v>
      </c>
    </row>
    <row r="89" spans="1:11">
      <c r="A89" s="1" t="s">
        <v>144</v>
      </c>
      <c r="B89" t="str">
        <f t="shared" si="2"/>
        <v>Purvi Ashish Shah , Ganesh Meridian</v>
      </c>
      <c r="C89" t="s">
        <v>499</v>
      </c>
      <c r="D89" t="s">
        <v>498</v>
      </c>
      <c r="E89" t="s">
        <v>497</v>
      </c>
      <c r="F89" t="s">
        <v>496</v>
      </c>
      <c r="G89" t="s">
        <v>495</v>
      </c>
      <c r="H89" t="s">
        <v>494</v>
      </c>
      <c r="I89" t="s">
        <v>496</v>
      </c>
      <c r="J89">
        <v>380060</v>
      </c>
      <c r="K89" t="b">
        <v>1</v>
      </c>
    </row>
    <row r="90" spans="1:11">
      <c r="A90" s="1" t="s">
        <v>154</v>
      </c>
      <c r="B90" t="str">
        <f t="shared" si="2"/>
        <v>Jyotiba Bhavansinh Parmar, Ganesh Meridian</v>
      </c>
      <c r="C90" t="s">
        <v>499</v>
      </c>
      <c r="D90" t="s">
        <v>498</v>
      </c>
      <c r="E90" t="s">
        <v>497</v>
      </c>
      <c r="F90" t="s">
        <v>496</v>
      </c>
      <c r="G90" t="s">
        <v>495</v>
      </c>
      <c r="H90" t="s">
        <v>494</v>
      </c>
      <c r="I90" t="s">
        <v>496</v>
      </c>
      <c r="J90">
        <v>380060</v>
      </c>
      <c r="K90" t="b">
        <v>1</v>
      </c>
    </row>
    <row r="91" spans="1:11">
      <c r="A91" s="1" t="s">
        <v>3</v>
      </c>
      <c r="B91" t="str">
        <f t="shared" si="2"/>
        <v>MAP Refoils India Ltd, Ganesh Meridian</v>
      </c>
      <c r="C91" t="s">
        <v>499</v>
      </c>
      <c r="D91" t="s">
        <v>498</v>
      </c>
      <c r="E91" t="s">
        <v>497</v>
      </c>
      <c r="F91" t="s">
        <v>496</v>
      </c>
      <c r="G91" t="s">
        <v>495</v>
      </c>
      <c r="H91" t="s">
        <v>494</v>
      </c>
      <c r="I91" t="s">
        <v>496</v>
      </c>
      <c r="J91">
        <v>380060</v>
      </c>
      <c r="K91" t="b">
        <v>1</v>
      </c>
    </row>
    <row r="92" spans="1:11">
      <c r="A92" s="1" t="s">
        <v>408</v>
      </c>
      <c r="B92" t="str">
        <f t="shared" si="2"/>
        <v>Ranjanben M. Parmar, Ganesh Meridian</v>
      </c>
      <c r="C92" t="s">
        <v>499</v>
      </c>
      <c r="D92" t="s">
        <v>498</v>
      </c>
      <c r="E92" t="s">
        <v>497</v>
      </c>
      <c r="F92" t="s">
        <v>496</v>
      </c>
      <c r="G92" t="s">
        <v>495</v>
      </c>
      <c r="H92" t="s">
        <v>494</v>
      </c>
      <c r="I92" t="s">
        <v>496</v>
      </c>
      <c r="J92">
        <v>380060</v>
      </c>
      <c r="K92" t="b">
        <v>1</v>
      </c>
    </row>
    <row r="93" spans="1:11">
      <c r="A93" s="1" t="s">
        <v>129</v>
      </c>
      <c r="B93" t="str">
        <f t="shared" si="2"/>
        <v>Nirmalaben Balkrushna Thakkar, Ganesh Meridian</v>
      </c>
      <c r="C93" t="s">
        <v>499</v>
      </c>
      <c r="D93" t="s">
        <v>498</v>
      </c>
      <c r="E93" t="s">
        <v>497</v>
      </c>
      <c r="F93" t="s">
        <v>496</v>
      </c>
      <c r="G93" t="s">
        <v>495</v>
      </c>
      <c r="H93" t="s">
        <v>494</v>
      </c>
      <c r="I93" t="s">
        <v>496</v>
      </c>
      <c r="J93">
        <v>380060</v>
      </c>
      <c r="K93" t="b">
        <v>1</v>
      </c>
    </row>
    <row r="94" spans="1:11">
      <c r="A94" s="1" t="s">
        <v>452</v>
      </c>
      <c r="B94" t="str">
        <f t="shared" si="2"/>
        <v>Patel Vipul Parshottambhai, Ganesh Meridian</v>
      </c>
      <c r="C94" t="s">
        <v>499</v>
      </c>
      <c r="D94" t="s">
        <v>498</v>
      </c>
      <c r="E94" t="s">
        <v>497</v>
      </c>
      <c r="F94" t="s">
        <v>496</v>
      </c>
      <c r="G94" t="s">
        <v>495</v>
      </c>
      <c r="H94" t="s">
        <v>494</v>
      </c>
      <c r="I94" t="s">
        <v>496</v>
      </c>
      <c r="J94">
        <v>380060</v>
      </c>
      <c r="K94" t="b">
        <v>1</v>
      </c>
    </row>
    <row r="95" spans="1:11">
      <c r="A95" s="1" t="s">
        <v>303</v>
      </c>
      <c r="B95" t="str">
        <f t="shared" si="2"/>
        <v>Hiren M Patel , Ganesh Meridian</v>
      </c>
      <c r="C95" t="s">
        <v>499</v>
      </c>
      <c r="D95" t="s">
        <v>498</v>
      </c>
      <c r="E95" t="s">
        <v>497</v>
      </c>
      <c r="F95" t="s">
        <v>496</v>
      </c>
      <c r="G95" t="s">
        <v>495</v>
      </c>
      <c r="H95" t="s">
        <v>494</v>
      </c>
      <c r="I95" t="s">
        <v>496</v>
      </c>
      <c r="J95">
        <v>380060</v>
      </c>
      <c r="K95" t="b">
        <v>1</v>
      </c>
    </row>
    <row r="96" spans="1:11">
      <c r="A96" s="1" t="s">
        <v>313</v>
      </c>
      <c r="B96" t="str">
        <f t="shared" si="2"/>
        <v>Vinodbhai, Ganesh Meridian</v>
      </c>
      <c r="C96" t="s">
        <v>499</v>
      </c>
      <c r="D96" t="s">
        <v>498</v>
      </c>
      <c r="E96" t="s">
        <v>497</v>
      </c>
      <c r="F96" t="s">
        <v>496</v>
      </c>
      <c r="G96" t="s">
        <v>495</v>
      </c>
      <c r="H96" t="s">
        <v>494</v>
      </c>
      <c r="I96" t="s">
        <v>496</v>
      </c>
      <c r="J96">
        <v>380060</v>
      </c>
      <c r="K96" t="b">
        <v>1</v>
      </c>
    </row>
    <row r="97" spans="1:11">
      <c r="A97" s="1" t="s">
        <v>205</v>
      </c>
      <c r="B97" t="str">
        <f t="shared" si="2"/>
        <v>Arovea Technologies, Ganesh Meridian</v>
      </c>
      <c r="C97" t="s">
        <v>499</v>
      </c>
      <c r="D97" t="s">
        <v>498</v>
      </c>
      <c r="E97" t="s">
        <v>497</v>
      </c>
      <c r="F97" t="s">
        <v>496</v>
      </c>
      <c r="G97" t="s">
        <v>495</v>
      </c>
      <c r="H97" t="s">
        <v>494</v>
      </c>
      <c r="I97" t="s">
        <v>496</v>
      </c>
      <c r="J97">
        <v>380060</v>
      </c>
      <c r="K97" t="b">
        <v>1</v>
      </c>
    </row>
    <row r="98" spans="1:11">
      <c r="A98" s="1" t="s">
        <v>391</v>
      </c>
      <c r="B98" t="str">
        <f t="shared" ref="B98:B129" si="3">A98 &amp; ", Ganesh Meridian"</f>
        <v>Manjulaben Thakkar, Ganesh Meridian</v>
      </c>
      <c r="C98" t="s">
        <v>499</v>
      </c>
      <c r="D98" t="s">
        <v>498</v>
      </c>
      <c r="E98" t="s">
        <v>497</v>
      </c>
      <c r="F98" t="s">
        <v>496</v>
      </c>
      <c r="G98" t="s">
        <v>495</v>
      </c>
      <c r="H98" t="s">
        <v>494</v>
      </c>
      <c r="I98" t="s">
        <v>496</v>
      </c>
      <c r="J98">
        <v>380060</v>
      </c>
      <c r="K98" t="b">
        <v>1</v>
      </c>
    </row>
    <row r="99" spans="1:11">
      <c r="A99" s="1" t="s">
        <v>160</v>
      </c>
      <c r="B99" t="str">
        <f t="shared" si="3"/>
        <v>Shivraj Trade Mark Pvt Ltd, Ganesh Meridian</v>
      </c>
      <c r="C99" t="s">
        <v>499</v>
      </c>
      <c r="D99" t="s">
        <v>498</v>
      </c>
      <c r="E99" t="s">
        <v>497</v>
      </c>
      <c r="F99" t="s">
        <v>496</v>
      </c>
      <c r="G99" t="s">
        <v>495</v>
      </c>
      <c r="H99" t="s">
        <v>494</v>
      </c>
      <c r="I99" t="s">
        <v>496</v>
      </c>
      <c r="J99">
        <v>380060</v>
      </c>
      <c r="K99" t="b">
        <v>1</v>
      </c>
    </row>
    <row r="100" spans="1:11">
      <c r="A100" s="1" t="s">
        <v>416</v>
      </c>
      <c r="B100" t="str">
        <f t="shared" si="3"/>
        <v>Satvam Nutrifoods, Ganesh Meridian</v>
      </c>
      <c r="C100" t="s">
        <v>499</v>
      </c>
      <c r="D100" t="s">
        <v>498</v>
      </c>
      <c r="E100" t="s">
        <v>497</v>
      </c>
      <c r="F100" t="s">
        <v>496</v>
      </c>
      <c r="G100" t="s">
        <v>495</v>
      </c>
      <c r="H100" t="s">
        <v>494</v>
      </c>
      <c r="I100" t="s">
        <v>496</v>
      </c>
      <c r="J100">
        <v>380060</v>
      </c>
      <c r="K100" t="b">
        <v>1</v>
      </c>
    </row>
    <row r="101" spans="1:11">
      <c r="A101" s="1" t="s">
        <v>352</v>
      </c>
      <c r="B101" t="str">
        <f t="shared" si="3"/>
        <v>Dinesh Manoharlal Bhojwani, Ganesh Meridian</v>
      </c>
      <c r="C101" t="s">
        <v>499</v>
      </c>
      <c r="D101" t="s">
        <v>498</v>
      </c>
      <c r="E101" t="s">
        <v>497</v>
      </c>
      <c r="F101" t="s">
        <v>496</v>
      </c>
      <c r="G101" t="s">
        <v>495</v>
      </c>
      <c r="H101" t="s">
        <v>494</v>
      </c>
      <c r="I101" t="s">
        <v>496</v>
      </c>
      <c r="J101">
        <v>380060</v>
      </c>
      <c r="K101" t="b">
        <v>1</v>
      </c>
    </row>
    <row r="102" spans="1:11">
      <c r="A102" s="1" t="s">
        <v>348</v>
      </c>
      <c r="B102" t="str">
        <f t="shared" si="3"/>
        <v>Vikram M Merani , Ganesh Meridian</v>
      </c>
      <c r="C102" t="s">
        <v>499</v>
      </c>
      <c r="D102" t="s">
        <v>498</v>
      </c>
      <c r="E102" t="s">
        <v>497</v>
      </c>
      <c r="F102" t="s">
        <v>496</v>
      </c>
      <c r="G102" t="s">
        <v>495</v>
      </c>
      <c r="H102" t="s">
        <v>494</v>
      </c>
      <c r="I102" t="s">
        <v>496</v>
      </c>
      <c r="J102">
        <v>380060</v>
      </c>
      <c r="K102" t="b">
        <v>1</v>
      </c>
    </row>
    <row r="103" spans="1:11">
      <c r="A103" s="1" t="s">
        <v>191</v>
      </c>
      <c r="B103" t="str">
        <f t="shared" si="3"/>
        <v>Dilipbhai Patel, Ganesh Meridian</v>
      </c>
      <c r="C103" t="s">
        <v>499</v>
      </c>
      <c r="D103" t="s">
        <v>498</v>
      </c>
      <c r="E103" t="s">
        <v>497</v>
      </c>
      <c r="F103" t="s">
        <v>496</v>
      </c>
      <c r="G103" t="s">
        <v>495</v>
      </c>
      <c r="H103" t="s">
        <v>494</v>
      </c>
      <c r="I103" t="s">
        <v>496</v>
      </c>
      <c r="J103">
        <v>380060</v>
      </c>
      <c r="K103" t="b">
        <v>1</v>
      </c>
    </row>
    <row r="104" spans="1:11">
      <c r="A104" s="1" t="s">
        <v>238</v>
      </c>
      <c r="B104" t="str">
        <f t="shared" si="3"/>
        <v>Darshan R Patel , Ganesh Meridian</v>
      </c>
      <c r="C104" t="s">
        <v>499</v>
      </c>
      <c r="D104" t="s">
        <v>498</v>
      </c>
      <c r="E104" t="s">
        <v>497</v>
      </c>
      <c r="F104" t="s">
        <v>496</v>
      </c>
      <c r="G104" t="s">
        <v>495</v>
      </c>
      <c r="H104" t="s">
        <v>494</v>
      </c>
      <c r="I104" t="s">
        <v>496</v>
      </c>
      <c r="J104">
        <v>380060</v>
      </c>
      <c r="K104" t="b">
        <v>1</v>
      </c>
    </row>
    <row r="105" spans="1:11">
      <c r="A105" s="1" t="s">
        <v>177</v>
      </c>
      <c r="B105" t="str">
        <f t="shared" si="3"/>
        <v>Hansaben Amrutbhai Patel, Ganesh Meridian</v>
      </c>
      <c r="C105" t="s">
        <v>499</v>
      </c>
      <c r="D105" t="s">
        <v>498</v>
      </c>
      <c r="E105" t="s">
        <v>497</v>
      </c>
      <c r="F105" t="s">
        <v>496</v>
      </c>
      <c r="G105" t="s">
        <v>495</v>
      </c>
      <c r="H105" t="s">
        <v>494</v>
      </c>
      <c r="I105" t="s">
        <v>496</v>
      </c>
      <c r="J105">
        <v>380060</v>
      </c>
      <c r="K105" t="b">
        <v>1</v>
      </c>
    </row>
    <row r="106" spans="1:11">
      <c r="A106" s="1" t="s">
        <v>175</v>
      </c>
      <c r="B106" t="str">
        <f t="shared" si="3"/>
        <v>Nirav Vishnubhai Patel, Ganesh Meridian</v>
      </c>
      <c r="C106" t="s">
        <v>499</v>
      </c>
      <c r="D106" t="s">
        <v>498</v>
      </c>
      <c r="E106" t="s">
        <v>497</v>
      </c>
      <c r="F106" t="s">
        <v>496</v>
      </c>
      <c r="G106" t="s">
        <v>495</v>
      </c>
      <c r="H106" t="s">
        <v>494</v>
      </c>
      <c r="I106" t="s">
        <v>496</v>
      </c>
      <c r="J106">
        <v>380060</v>
      </c>
      <c r="K106" t="b">
        <v>1</v>
      </c>
    </row>
    <row r="107" spans="1:11">
      <c r="A107" s="1" t="s">
        <v>117</v>
      </c>
      <c r="B107" t="str">
        <f t="shared" si="3"/>
        <v>Kamlaben Patel, Ganesh Meridian</v>
      </c>
      <c r="C107" t="s">
        <v>499</v>
      </c>
      <c r="D107" t="s">
        <v>498</v>
      </c>
      <c r="E107" t="s">
        <v>497</v>
      </c>
      <c r="F107" t="s">
        <v>496</v>
      </c>
      <c r="G107" t="s">
        <v>495</v>
      </c>
      <c r="H107" t="s">
        <v>494</v>
      </c>
      <c r="I107" t="s">
        <v>496</v>
      </c>
      <c r="J107">
        <v>380060</v>
      </c>
      <c r="K107" t="b">
        <v>1</v>
      </c>
    </row>
    <row r="108" spans="1:11">
      <c r="A108" s="1" t="s">
        <v>203</v>
      </c>
      <c r="B108" t="str">
        <f t="shared" si="3"/>
        <v>Vinod Chamanlal Vaishnavi , Ganesh Meridian</v>
      </c>
      <c r="C108" t="s">
        <v>499</v>
      </c>
      <c r="D108" t="s">
        <v>498</v>
      </c>
      <c r="E108" t="s">
        <v>497</v>
      </c>
      <c r="F108" t="s">
        <v>496</v>
      </c>
      <c r="G108" t="s">
        <v>495</v>
      </c>
      <c r="H108" t="s">
        <v>494</v>
      </c>
      <c r="I108" t="s">
        <v>496</v>
      </c>
      <c r="J108">
        <v>380060</v>
      </c>
      <c r="K108" t="b">
        <v>1</v>
      </c>
    </row>
    <row r="109" spans="1:11">
      <c r="A109" s="1" t="s">
        <v>150</v>
      </c>
      <c r="B109" t="str">
        <f t="shared" si="3"/>
        <v>Nirav M Patel, Ganesh Meridian</v>
      </c>
      <c r="C109" t="s">
        <v>499</v>
      </c>
      <c r="D109" t="s">
        <v>498</v>
      </c>
      <c r="E109" t="s">
        <v>497</v>
      </c>
      <c r="F109" t="s">
        <v>496</v>
      </c>
      <c r="G109" t="s">
        <v>495</v>
      </c>
      <c r="H109" t="s">
        <v>494</v>
      </c>
      <c r="I109" t="s">
        <v>496</v>
      </c>
      <c r="J109">
        <v>380060</v>
      </c>
      <c r="K109" t="b">
        <v>1</v>
      </c>
    </row>
    <row r="110" spans="1:11">
      <c r="A110" s="1" t="s">
        <v>8</v>
      </c>
      <c r="B110" t="str">
        <f t="shared" si="3"/>
        <v>JSIW Infrastructure P. Ltd, Ganesh Meridian</v>
      </c>
      <c r="C110" t="s">
        <v>499</v>
      </c>
      <c r="D110" t="s">
        <v>498</v>
      </c>
      <c r="E110" t="s">
        <v>497</v>
      </c>
      <c r="F110" t="s">
        <v>496</v>
      </c>
      <c r="G110" t="s">
        <v>495</v>
      </c>
      <c r="H110" t="s">
        <v>494</v>
      </c>
      <c r="I110" t="s">
        <v>496</v>
      </c>
      <c r="J110">
        <v>380060</v>
      </c>
      <c r="K110" t="b">
        <v>1</v>
      </c>
    </row>
    <row r="111" spans="1:11">
      <c r="A111" s="1" t="s">
        <v>333</v>
      </c>
      <c r="B111" t="str">
        <f t="shared" si="3"/>
        <v>A-J Tarunkumar Virchand Shah Huf, Ganesh Meridian</v>
      </c>
      <c r="C111" t="s">
        <v>499</v>
      </c>
      <c r="D111" t="s">
        <v>498</v>
      </c>
      <c r="E111" t="s">
        <v>497</v>
      </c>
      <c r="F111" t="s">
        <v>496</v>
      </c>
      <c r="G111" t="s">
        <v>495</v>
      </c>
      <c r="H111" t="s">
        <v>494</v>
      </c>
      <c r="I111" t="s">
        <v>496</v>
      </c>
      <c r="J111">
        <v>380060</v>
      </c>
      <c r="K111" t="b">
        <v>1</v>
      </c>
    </row>
    <row r="112" spans="1:11">
      <c r="A112" s="1" t="s">
        <v>133</v>
      </c>
      <c r="B112" t="str">
        <f t="shared" si="3"/>
        <v>Mr. Alpeshbhai Babubhai Patel , Ganesh Meridian</v>
      </c>
      <c r="C112" t="s">
        <v>499</v>
      </c>
      <c r="D112" t="s">
        <v>498</v>
      </c>
      <c r="E112" t="s">
        <v>497</v>
      </c>
      <c r="F112" t="s">
        <v>496</v>
      </c>
      <c r="G112" t="s">
        <v>495</v>
      </c>
      <c r="H112" t="s">
        <v>494</v>
      </c>
      <c r="I112" t="s">
        <v>496</v>
      </c>
      <c r="J112">
        <v>380060</v>
      </c>
      <c r="K112" t="b">
        <v>1</v>
      </c>
    </row>
    <row r="113" spans="1:11">
      <c r="A113" s="1" t="s">
        <v>221</v>
      </c>
      <c r="B113" t="str">
        <f t="shared" si="3"/>
        <v>Nisarg Jashwantbhai Patel, Ganesh Meridian</v>
      </c>
      <c r="C113" t="s">
        <v>499</v>
      </c>
      <c r="D113" t="s">
        <v>498</v>
      </c>
      <c r="E113" t="s">
        <v>497</v>
      </c>
      <c r="F113" t="s">
        <v>496</v>
      </c>
      <c r="G113" t="s">
        <v>495</v>
      </c>
      <c r="H113" t="s">
        <v>494</v>
      </c>
      <c r="I113" t="s">
        <v>496</v>
      </c>
      <c r="J113">
        <v>380060</v>
      </c>
      <c r="K113" t="b">
        <v>1</v>
      </c>
    </row>
    <row r="114" spans="1:11">
      <c r="A114" s="1" t="s">
        <v>40</v>
      </c>
      <c r="B114" t="str">
        <f t="shared" si="3"/>
        <v>Manishaben Shah, Ganesh Meridian</v>
      </c>
      <c r="C114" t="s">
        <v>499</v>
      </c>
      <c r="D114" t="s">
        <v>498</v>
      </c>
      <c r="E114" t="s">
        <v>497</v>
      </c>
      <c r="F114" t="s">
        <v>496</v>
      </c>
      <c r="G114" t="s">
        <v>495</v>
      </c>
      <c r="H114" t="s">
        <v>494</v>
      </c>
      <c r="I114" t="s">
        <v>496</v>
      </c>
      <c r="J114">
        <v>380060</v>
      </c>
      <c r="K114" t="b">
        <v>1</v>
      </c>
    </row>
    <row r="115" spans="1:11">
      <c r="A115" s="1" t="s">
        <v>199</v>
      </c>
      <c r="B115" t="str">
        <f t="shared" si="3"/>
        <v>Maheshsingh Kushwah, Ganesh Meridian</v>
      </c>
      <c r="C115" t="s">
        <v>499</v>
      </c>
      <c r="D115" t="s">
        <v>498</v>
      </c>
      <c r="E115" t="s">
        <v>497</v>
      </c>
      <c r="F115" t="s">
        <v>496</v>
      </c>
      <c r="G115" t="s">
        <v>495</v>
      </c>
      <c r="H115" t="s">
        <v>494</v>
      </c>
      <c r="I115" t="s">
        <v>496</v>
      </c>
      <c r="J115">
        <v>380060</v>
      </c>
      <c r="K115" t="b">
        <v>1</v>
      </c>
    </row>
    <row r="116" spans="1:11">
      <c r="A116" s="1" t="s">
        <v>225</v>
      </c>
      <c r="B116" t="str">
        <f t="shared" si="3"/>
        <v>Jayesh Jayantibhai Patel, Ganesh Meridian</v>
      </c>
      <c r="C116" t="s">
        <v>499</v>
      </c>
      <c r="D116" t="s">
        <v>498</v>
      </c>
      <c r="E116" t="s">
        <v>497</v>
      </c>
      <c r="F116" t="s">
        <v>496</v>
      </c>
      <c r="G116" t="s">
        <v>495</v>
      </c>
      <c r="H116" t="s">
        <v>494</v>
      </c>
      <c r="I116" t="s">
        <v>496</v>
      </c>
      <c r="J116">
        <v>380060</v>
      </c>
      <c r="K116" t="b">
        <v>1</v>
      </c>
    </row>
    <row r="117" spans="1:11">
      <c r="A117" s="1" t="s">
        <v>374</v>
      </c>
      <c r="B117" t="str">
        <f t="shared" si="3"/>
        <v>Pradipkumar Gupta, Ganesh Meridian</v>
      </c>
      <c r="C117" t="s">
        <v>499</v>
      </c>
      <c r="D117" t="s">
        <v>498</v>
      </c>
      <c r="E117" t="s">
        <v>497</v>
      </c>
      <c r="F117" t="s">
        <v>496</v>
      </c>
      <c r="G117" t="s">
        <v>495</v>
      </c>
      <c r="H117" t="s">
        <v>494</v>
      </c>
      <c r="I117" t="s">
        <v>496</v>
      </c>
      <c r="J117">
        <v>380060</v>
      </c>
      <c r="K117" t="b">
        <v>1</v>
      </c>
    </row>
    <row r="118" spans="1:11">
      <c r="A118" s="1" t="s">
        <v>398</v>
      </c>
      <c r="B118" t="str">
        <f t="shared" si="3"/>
        <v>Ravi Prakash Nandubhai Patel, Ganesh Meridian</v>
      </c>
      <c r="C118" t="s">
        <v>499</v>
      </c>
      <c r="D118" t="s">
        <v>498</v>
      </c>
      <c r="E118" t="s">
        <v>497</v>
      </c>
      <c r="F118" t="s">
        <v>496</v>
      </c>
      <c r="G118" t="s">
        <v>495</v>
      </c>
      <c r="H118" t="s">
        <v>494</v>
      </c>
      <c r="I118" t="s">
        <v>496</v>
      </c>
      <c r="J118">
        <v>380060</v>
      </c>
      <c r="K118" t="b">
        <v>1</v>
      </c>
    </row>
    <row r="119" spans="1:11">
      <c r="A119" s="1" t="s">
        <v>215</v>
      </c>
      <c r="B119" t="str">
        <f t="shared" si="3"/>
        <v>Diamond Infracom, Ganesh Meridian</v>
      </c>
      <c r="C119" t="s">
        <v>499</v>
      </c>
      <c r="D119" t="s">
        <v>498</v>
      </c>
      <c r="E119" t="s">
        <v>497</v>
      </c>
      <c r="F119" t="s">
        <v>496</v>
      </c>
      <c r="G119" t="s">
        <v>495</v>
      </c>
      <c r="H119" t="s">
        <v>494</v>
      </c>
      <c r="I119" t="s">
        <v>496</v>
      </c>
      <c r="J119">
        <v>380060</v>
      </c>
      <c r="K119" t="b">
        <v>1</v>
      </c>
    </row>
    <row r="120" spans="1:11">
      <c r="A120" s="1" t="s">
        <v>36</v>
      </c>
      <c r="B120" t="str">
        <f t="shared" si="3"/>
        <v>Devashish Trivedi, Ganesh Meridian</v>
      </c>
      <c r="C120" t="s">
        <v>499</v>
      </c>
      <c r="D120" t="s">
        <v>498</v>
      </c>
      <c r="E120" t="s">
        <v>497</v>
      </c>
      <c r="F120" t="s">
        <v>496</v>
      </c>
      <c r="G120" t="s">
        <v>495</v>
      </c>
      <c r="H120" t="s">
        <v>494</v>
      </c>
      <c r="I120" t="s">
        <v>496</v>
      </c>
      <c r="J120">
        <v>380060</v>
      </c>
      <c r="K120" t="b">
        <v>1</v>
      </c>
    </row>
    <row r="121" spans="1:11">
      <c r="A121" s="1" t="s">
        <v>376</v>
      </c>
      <c r="B121" t="str">
        <f t="shared" si="3"/>
        <v>Meenu Pradip Gupta, Ganesh Meridian</v>
      </c>
      <c r="C121" t="s">
        <v>499</v>
      </c>
      <c r="D121" t="s">
        <v>498</v>
      </c>
      <c r="E121" t="s">
        <v>497</v>
      </c>
      <c r="F121" t="s">
        <v>496</v>
      </c>
      <c r="G121" t="s">
        <v>495</v>
      </c>
      <c r="H121" t="s">
        <v>494</v>
      </c>
      <c r="I121" t="s">
        <v>496</v>
      </c>
      <c r="J121">
        <v>380060</v>
      </c>
      <c r="K121" t="b">
        <v>1</v>
      </c>
    </row>
    <row r="122" spans="1:11">
      <c r="A122" s="1" t="s">
        <v>265</v>
      </c>
      <c r="B122" t="str">
        <f t="shared" si="3"/>
        <v>Pratibhaben Ajaykumar Shah, Ganesh Meridian</v>
      </c>
      <c r="C122" t="s">
        <v>499</v>
      </c>
      <c r="D122" t="s">
        <v>498</v>
      </c>
      <c r="E122" t="s">
        <v>497</v>
      </c>
      <c r="F122" t="s">
        <v>496</v>
      </c>
      <c r="G122" t="s">
        <v>495</v>
      </c>
      <c r="H122" t="s">
        <v>494</v>
      </c>
      <c r="I122" t="s">
        <v>496</v>
      </c>
      <c r="J122">
        <v>380060</v>
      </c>
      <c r="K122" t="b">
        <v>1</v>
      </c>
    </row>
    <row r="123" spans="1:11">
      <c r="A123" s="1" t="s">
        <v>368</v>
      </c>
      <c r="B123" t="str">
        <f t="shared" si="3"/>
        <v>Shardaben B Kavathiya, Ganesh Meridian</v>
      </c>
      <c r="C123" t="s">
        <v>499</v>
      </c>
      <c r="D123" t="s">
        <v>498</v>
      </c>
      <c r="E123" t="s">
        <v>497</v>
      </c>
      <c r="F123" t="s">
        <v>496</v>
      </c>
      <c r="G123" t="s">
        <v>495</v>
      </c>
      <c r="H123" t="s">
        <v>494</v>
      </c>
      <c r="I123" t="s">
        <v>496</v>
      </c>
      <c r="J123">
        <v>380060</v>
      </c>
      <c r="K123" t="b">
        <v>1</v>
      </c>
    </row>
    <row r="124" spans="1:11">
      <c r="A124" s="1" t="s">
        <v>248</v>
      </c>
      <c r="B124" t="str">
        <f t="shared" si="3"/>
        <v>Mithilesh Singh, Ganesh Meridian</v>
      </c>
      <c r="C124" t="s">
        <v>499</v>
      </c>
      <c r="D124" t="s">
        <v>498</v>
      </c>
      <c r="E124" t="s">
        <v>497</v>
      </c>
      <c r="F124" t="s">
        <v>496</v>
      </c>
      <c r="G124" t="s">
        <v>495</v>
      </c>
      <c r="H124" t="s">
        <v>494</v>
      </c>
      <c r="I124" t="s">
        <v>496</v>
      </c>
      <c r="J124">
        <v>380060</v>
      </c>
      <c r="K124" t="b">
        <v>1</v>
      </c>
    </row>
    <row r="125" spans="1:11">
      <c r="A125" s="1" t="s">
        <v>229</v>
      </c>
      <c r="B125" t="str">
        <f t="shared" si="3"/>
        <v>Piyush N Shah, Ganesh Meridian</v>
      </c>
      <c r="C125" t="s">
        <v>499</v>
      </c>
      <c r="D125" t="s">
        <v>498</v>
      </c>
      <c r="E125" t="s">
        <v>497</v>
      </c>
      <c r="F125" t="s">
        <v>496</v>
      </c>
      <c r="G125" t="s">
        <v>495</v>
      </c>
      <c r="H125" t="s">
        <v>494</v>
      </c>
      <c r="I125" t="s">
        <v>496</v>
      </c>
      <c r="J125">
        <v>380060</v>
      </c>
      <c r="K125" t="b">
        <v>1</v>
      </c>
    </row>
    <row r="126" spans="1:11">
      <c r="A126" s="1" t="s">
        <v>430</v>
      </c>
      <c r="B126" t="str">
        <f t="shared" si="3"/>
        <v>Rajkumar Patel, Ganesh Meridian</v>
      </c>
      <c r="C126" t="s">
        <v>499</v>
      </c>
      <c r="D126" t="s">
        <v>498</v>
      </c>
      <c r="E126" t="s">
        <v>497</v>
      </c>
      <c r="F126" t="s">
        <v>496</v>
      </c>
      <c r="G126" t="s">
        <v>495</v>
      </c>
      <c r="H126" t="s">
        <v>494</v>
      </c>
      <c r="I126" t="s">
        <v>496</v>
      </c>
      <c r="J126">
        <v>380060</v>
      </c>
      <c r="K126" t="b">
        <v>1</v>
      </c>
    </row>
    <row r="127" spans="1:11">
      <c r="A127" s="1" t="s">
        <v>257</v>
      </c>
      <c r="B127" t="str">
        <f t="shared" si="3"/>
        <v>Kanchanben Pukhraj Shah, Ganesh Meridian</v>
      </c>
      <c r="C127" t="s">
        <v>499</v>
      </c>
      <c r="D127" t="s">
        <v>498</v>
      </c>
      <c r="E127" t="s">
        <v>497</v>
      </c>
      <c r="F127" t="s">
        <v>496</v>
      </c>
      <c r="G127" t="s">
        <v>495</v>
      </c>
      <c r="H127" t="s">
        <v>494</v>
      </c>
      <c r="I127" t="s">
        <v>496</v>
      </c>
      <c r="J127">
        <v>380060</v>
      </c>
      <c r="K127" t="b">
        <v>1</v>
      </c>
    </row>
    <row r="128" spans="1:11">
      <c r="A128" s="1" t="s">
        <v>338</v>
      </c>
      <c r="B128" t="str">
        <f t="shared" si="3"/>
        <v>KnAdminnsense Studios LLP, Ganesh Meridian</v>
      </c>
      <c r="C128" t="s">
        <v>499</v>
      </c>
      <c r="D128" t="s">
        <v>498</v>
      </c>
      <c r="E128" t="s">
        <v>497</v>
      </c>
      <c r="F128" t="s">
        <v>496</v>
      </c>
      <c r="G128" t="s">
        <v>495</v>
      </c>
      <c r="H128" t="s">
        <v>494</v>
      </c>
      <c r="I128" t="s">
        <v>496</v>
      </c>
      <c r="J128">
        <v>380060</v>
      </c>
      <c r="K128" t="b">
        <v>1</v>
      </c>
    </row>
    <row r="129" spans="1:11">
      <c r="A129" s="1" t="s">
        <v>329</v>
      </c>
      <c r="B129" t="str">
        <f t="shared" si="3"/>
        <v>Monil Hasmukhbhai Parikh HUF, Ganesh Meridian</v>
      </c>
      <c r="C129" t="s">
        <v>499</v>
      </c>
      <c r="D129" t="s">
        <v>498</v>
      </c>
      <c r="E129" t="s">
        <v>497</v>
      </c>
      <c r="F129" t="s">
        <v>496</v>
      </c>
      <c r="G129" t="s">
        <v>495</v>
      </c>
      <c r="H129" t="s">
        <v>494</v>
      </c>
      <c r="I129" t="s">
        <v>496</v>
      </c>
      <c r="J129">
        <v>380060</v>
      </c>
      <c r="K129" t="b">
        <v>1</v>
      </c>
    </row>
    <row r="130" spans="1:11">
      <c r="A130" s="1" t="s">
        <v>289</v>
      </c>
      <c r="B130" t="str">
        <f t="shared" ref="B130:B161" si="4">A130 &amp; ", Ganesh Meridian"</f>
        <v>Ravindra Purshottamdas Patel, Ganesh Meridian</v>
      </c>
      <c r="C130" t="s">
        <v>499</v>
      </c>
      <c r="D130" t="s">
        <v>498</v>
      </c>
      <c r="E130" t="s">
        <v>497</v>
      </c>
      <c r="F130" t="s">
        <v>496</v>
      </c>
      <c r="G130" t="s">
        <v>495</v>
      </c>
      <c r="H130" t="s">
        <v>494</v>
      </c>
      <c r="I130" t="s">
        <v>496</v>
      </c>
      <c r="J130">
        <v>380060</v>
      </c>
      <c r="K130" t="b">
        <v>1</v>
      </c>
    </row>
    <row r="131" spans="1:11">
      <c r="A131" s="1" t="s">
        <v>254</v>
      </c>
      <c r="B131" t="str">
        <f t="shared" si="4"/>
        <v>Intelligent IT Hub Pvt Ltd, Ganesh Meridian</v>
      </c>
      <c r="C131" t="s">
        <v>499</v>
      </c>
      <c r="D131" t="s">
        <v>498</v>
      </c>
      <c r="E131" t="s">
        <v>497</v>
      </c>
      <c r="F131" t="s">
        <v>496</v>
      </c>
      <c r="G131" t="s">
        <v>495</v>
      </c>
      <c r="H131" t="s">
        <v>494</v>
      </c>
      <c r="I131" t="s">
        <v>496</v>
      </c>
      <c r="J131">
        <v>380060</v>
      </c>
      <c r="K131" t="b">
        <v>1</v>
      </c>
    </row>
    <row r="132" spans="1:11">
      <c r="A132" s="1" t="s">
        <v>404</v>
      </c>
      <c r="B132" t="str">
        <f t="shared" si="4"/>
        <v>P.R. Patel&amp;Co., Ganesh Meridian</v>
      </c>
      <c r="C132" t="s">
        <v>499</v>
      </c>
      <c r="D132" t="s">
        <v>498</v>
      </c>
      <c r="E132" t="s">
        <v>497</v>
      </c>
      <c r="F132" t="s">
        <v>496</v>
      </c>
      <c r="G132" t="s">
        <v>495</v>
      </c>
      <c r="H132" t="s">
        <v>494</v>
      </c>
      <c r="I132" t="s">
        <v>496</v>
      </c>
      <c r="J132">
        <v>380060</v>
      </c>
      <c r="K132" t="b">
        <v>1</v>
      </c>
    </row>
    <row r="133" spans="1:11">
      <c r="A133" s="1" t="s">
        <v>307</v>
      </c>
      <c r="B133" t="str">
        <f t="shared" si="4"/>
        <v>Pranav Chandresh Patel, Ganesh Meridian</v>
      </c>
      <c r="C133" t="s">
        <v>499</v>
      </c>
      <c r="D133" t="s">
        <v>498</v>
      </c>
      <c r="E133" t="s">
        <v>497</v>
      </c>
      <c r="F133" t="s">
        <v>496</v>
      </c>
      <c r="G133" t="s">
        <v>495</v>
      </c>
      <c r="H133" t="s">
        <v>494</v>
      </c>
      <c r="I133" t="s">
        <v>496</v>
      </c>
      <c r="J133">
        <v>380060</v>
      </c>
      <c r="K133" t="b">
        <v>1</v>
      </c>
    </row>
    <row r="134" spans="1:11">
      <c r="A134" s="1" t="s">
        <v>183</v>
      </c>
      <c r="B134" t="str">
        <f t="shared" si="4"/>
        <v>Harsad Babulal Jani, Ganesh Meridian</v>
      </c>
      <c r="C134" t="s">
        <v>499</v>
      </c>
      <c r="D134" t="s">
        <v>498</v>
      </c>
      <c r="E134" t="s">
        <v>497</v>
      </c>
      <c r="F134" t="s">
        <v>496</v>
      </c>
      <c r="G134" t="s">
        <v>495</v>
      </c>
      <c r="H134" t="s">
        <v>494</v>
      </c>
      <c r="I134" t="s">
        <v>496</v>
      </c>
      <c r="J134">
        <v>380060</v>
      </c>
      <c r="K134" t="b">
        <v>1</v>
      </c>
    </row>
    <row r="135" spans="1:11">
      <c r="A135" s="1" t="s">
        <v>163</v>
      </c>
      <c r="B135" t="str">
        <f t="shared" si="4"/>
        <v>Gopiben R Patel, Ganesh Meridian</v>
      </c>
      <c r="C135" t="s">
        <v>499</v>
      </c>
      <c r="D135" t="s">
        <v>498</v>
      </c>
      <c r="E135" t="s">
        <v>497</v>
      </c>
      <c r="F135" t="s">
        <v>496</v>
      </c>
      <c r="G135" t="s">
        <v>495</v>
      </c>
      <c r="H135" t="s">
        <v>494</v>
      </c>
      <c r="I135" t="s">
        <v>496</v>
      </c>
      <c r="J135">
        <v>380060</v>
      </c>
      <c r="K135" t="b">
        <v>1</v>
      </c>
    </row>
    <row r="136" spans="1:11">
      <c r="A136" s="1" t="s">
        <v>261</v>
      </c>
      <c r="B136" t="str">
        <f t="shared" si="4"/>
        <v>Gaurav Mehta, Ganesh Meridian</v>
      </c>
      <c r="C136" t="s">
        <v>499</v>
      </c>
      <c r="D136" t="s">
        <v>498</v>
      </c>
      <c r="E136" t="s">
        <v>497</v>
      </c>
      <c r="F136" t="s">
        <v>496</v>
      </c>
      <c r="G136" t="s">
        <v>495</v>
      </c>
      <c r="H136" t="s">
        <v>494</v>
      </c>
      <c r="I136" t="s">
        <v>496</v>
      </c>
      <c r="J136">
        <v>380060</v>
      </c>
      <c r="K136" t="b">
        <v>1</v>
      </c>
    </row>
    <row r="137" spans="1:11">
      <c r="A137" s="1" t="s">
        <v>287</v>
      </c>
      <c r="B137" t="str">
        <f t="shared" si="4"/>
        <v>Nirmalaben B Ajara , Ganesh Meridian</v>
      </c>
      <c r="C137" t="s">
        <v>499</v>
      </c>
      <c r="D137" t="s">
        <v>498</v>
      </c>
      <c r="E137" t="s">
        <v>497</v>
      </c>
      <c r="F137" t="s">
        <v>496</v>
      </c>
      <c r="G137" t="s">
        <v>495</v>
      </c>
      <c r="H137" t="s">
        <v>494</v>
      </c>
      <c r="I137" t="s">
        <v>496</v>
      </c>
      <c r="J137">
        <v>380060</v>
      </c>
      <c r="K137" t="b">
        <v>1</v>
      </c>
    </row>
    <row r="138" spans="1:11">
      <c r="A138" s="1" t="s">
        <v>460</v>
      </c>
      <c r="B138" t="str">
        <f t="shared" si="4"/>
        <v>Amit M Panchal, Ganesh Meridian</v>
      </c>
      <c r="C138" t="s">
        <v>499</v>
      </c>
      <c r="D138" t="s">
        <v>498</v>
      </c>
      <c r="E138" t="s">
        <v>497</v>
      </c>
      <c r="F138" t="s">
        <v>496</v>
      </c>
      <c r="G138" t="s">
        <v>495</v>
      </c>
      <c r="H138" t="s">
        <v>494</v>
      </c>
      <c r="I138" t="s">
        <v>496</v>
      </c>
      <c r="J138">
        <v>380060</v>
      </c>
      <c r="K138" t="b">
        <v>1</v>
      </c>
    </row>
    <row r="139" spans="1:11">
      <c r="A139" s="1" t="s">
        <v>219</v>
      </c>
      <c r="B139" t="str">
        <f t="shared" si="4"/>
        <v>Vinodbhai Jagdishbhai Patel, Ganesh Meridian</v>
      </c>
      <c r="C139" t="s">
        <v>499</v>
      </c>
      <c r="D139" t="s">
        <v>498</v>
      </c>
      <c r="E139" t="s">
        <v>497</v>
      </c>
      <c r="F139" t="s">
        <v>496</v>
      </c>
      <c r="G139" t="s">
        <v>495</v>
      </c>
      <c r="H139" t="s">
        <v>494</v>
      </c>
      <c r="I139" t="s">
        <v>496</v>
      </c>
      <c r="J139">
        <v>380060</v>
      </c>
      <c r="K139" t="b">
        <v>1</v>
      </c>
    </row>
    <row r="140" spans="1:11">
      <c r="A140" s="1" t="s">
        <v>402</v>
      </c>
      <c r="B140" t="str">
        <f t="shared" si="4"/>
        <v>Shushil Shukla, Ganesh Meridian</v>
      </c>
      <c r="C140" t="s">
        <v>499</v>
      </c>
      <c r="D140" t="s">
        <v>498</v>
      </c>
      <c r="E140" t="s">
        <v>497</v>
      </c>
      <c r="F140" t="s">
        <v>496</v>
      </c>
      <c r="G140" t="s">
        <v>495</v>
      </c>
      <c r="H140" t="s">
        <v>494</v>
      </c>
      <c r="I140" t="s">
        <v>496</v>
      </c>
      <c r="J140">
        <v>380060</v>
      </c>
      <c r="K140" t="b">
        <v>1</v>
      </c>
    </row>
    <row r="141" spans="1:11">
      <c r="A141" s="1" t="s">
        <v>362</v>
      </c>
      <c r="B141" t="str">
        <f t="shared" si="4"/>
        <v>Sapphire Software Solutions, Ganesh Meridian</v>
      </c>
      <c r="C141" t="s">
        <v>499</v>
      </c>
      <c r="D141" t="s">
        <v>498</v>
      </c>
      <c r="E141" t="s">
        <v>497</v>
      </c>
      <c r="F141" t="s">
        <v>496</v>
      </c>
      <c r="G141" t="s">
        <v>495</v>
      </c>
      <c r="H141" t="s">
        <v>494</v>
      </c>
      <c r="I141" t="s">
        <v>496</v>
      </c>
      <c r="J141">
        <v>380060</v>
      </c>
      <c r="K141" t="b">
        <v>1</v>
      </c>
    </row>
    <row r="142" spans="1:11">
      <c r="A142" s="1" t="s">
        <v>301</v>
      </c>
      <c r="B142" t="str">
        <f t="shared" si="4"/>
        <v>Vinodbhai C Patel, Ganesh Meridian</v>
      </c>
      <c r="C142" t="s">
        <v>499</v>
      </c>
      <c r="D142" t="s">
        <v>498</v>
      </c>
      <c r="E142" t="s">
        <v>497</v>
      </c>
      <c r="F142" t="s">
        <v>496</v>
      </c>
      <c r="G142" t="s">
        <v>495</v>
      </c>
      <c r="H142" t="s">
        <v>494</v>
      </c>
      <c r="I142" t="s">
        <v>496</v>
      </c>
      <c r="J142">
        <v>380060</v>
      </c>
      <c r="K142" t="b">
        <v>1</v>
      </c>
    </row>
    <row r="143" spans="1:11">
      <c r="A143" s="1" t="s">
        <v>442</v>
      </c>
      <c r="B143" t="str">
        <f t="shared" si="4"/>
        <v>Pravinbhai M Patel , Ganesh Meridian</v>
      </c>
      <c r="C143" t="s">
        <v>499</v>
      </c>
      <c r="D143" t="s">
        <v>498</v>
      </c>
      <c r="E143" t="s">
        <v>497</v>
      </c>
      <c r="F143" t="s">
        <v>496</v>
      </c>
      <c r="G143" t="s">
        <v>495</v>
      </c>
      <c r="H143" t="s">
        <v>494</v>
      </c>
      <c r="I143" t="s">
        <v>496</v>
      </c>
      <c r="J143">
        <v>380060</v>
      </c>
      <c r="K143" t="b">
        <v>1</v>
      </c>
    </row>
    <row r="144" spans="1:11">
      <c r="A144" s="1" t="s">
        <v>275</v>
      </c>
      <c r="B144" t="str">
        <f t="shared" si="4"/>
        <v>Vijaykumar Girjaprasad Thaker HUF, Ganesh Meridian</v>
      </c>
      <c r="C144" t="s">
        <v>499</v>
      </c>
      <c r="D144" t="s">
        <v>498</v>
      </c>
      <c r="E144" t="s">
        <v>497</v>
      </c>
      <c r="F144" t="s">
        <v>496</v>
      </c>
      <c r="G144" t="s">
        <v>495</v>
      </c>
      <c r="H144" t="s">
        <v>494</v>
      </c>
      <c r="I144" t="s">
        <v>496</v>
      </c>
      <c r="J144">
        <v>380060</v>
      </c>
      <c r="K144" t="b">
        <v>1</v>
      </c>
    </row>
    <row r="145" spans="1:11">
      <c r="A145" s="1" t="s">
        <v>179</v>
      </c>
      <c r="B145" t="str">
        <f t="shared" si="4"/>
        <v>M_S. Opulence Business Solutions Pvt Ltd, Ganesh Meridian</v>
      </c>
      <c r="C145" t="s">
        <v>499</v>
      </c>
      <c r="D145" t="s">
        <v>498</v>
      </c>
      <c r="E145" t="s">
        <v>497</v>
      </c>
      <c r="F145" t="s">
        <v>496</v>
      </c>
      <c r="G145" t="s">
        <v>495</v>
      </c>
      <c r="H145" t="s">
        <v>494</v>
      </c>
      <c r="I145" t="s">
        <v>496</v>
      </c>
      <c r="J145">
        <v>380060</v>
      </c>
      <c r="K145" t="b">
        <v>1</v>
      </c>
    </row>
    <row r="146" spans="1:11">
      <c r="A146" s="1" t="s">
        <v>169</v>
      </c>
      <c r="B146" t="str">
        <f t="shared" si="4"/>
        <v>Ashaben V Darji, Ganesh Meridian</v>
      </c>
      <c r="C146" t="s">
        <v>499</v>
      </c>
      <c r="D146" t="s">
        <v>498</v>
      </c>
      <c r="E146" t="s">
        <v>497</v>
      </c>
      <c r="F146" t="s">
        <v>496</v>
      </c>
      <c r="G146" t="s">
        <v>495</v>
      </c>
      <c r="H146" t="s">
        <v>494</v>
      </c>
      <c r="I146" t="s">
        <v>496</v>
      </c>
      <c r="J146">
        <v>380060</v>
      </c>
      <c r="K146" t="b">
        <v>1</v>
      </c>
    </row>
    <row r="147" spans="1:11">
      <c r="A147" s="1" t="s">
        <v>309</v>
      </c>
      <c r="B147" t="str">
        <f t="shared" si="4"/>
        <v>Hyperlink Info System C_o Harni, Ganesh Meridian</v>
      </c>
      <c r="C147" t="s">
        <v>499</v>
      </c>
      <c r="D147" t="s">
        <v>498</v>
      </c>
      <c r="E147" t="s">
        <v>497</v>
      </c>
      <c r="F147" t="s">
        <v>496</v>
      </c>
      <c r="G147" t="s">
        <v>495</v>
      </c>
      <c r="H147" t="s">
        <v>494</v>
      </c>
      <c r="I147" t="s">
        <v>496</v>
      </c>
      <c r="J147">
        <v>380060</v>
      </c>
      <c r="K147" t="b">
        <v>1</v>
      </c>
    </row>
    <row r="148" spans="1:11">
      <c r="A148" s="1" t="s">
        <v>432</v>
      </c>
      <c r="B148" t="str">
        <f t="shared" si="4"/>
        <v>Maulik Dipakkumar Shah , Ganesh Meridian</v>
      </c>
      <c r="C148" t="s">
        <v>499</v>
      </c>
      <c r="D148" t="s">
        <v>498</v>
      </c>
      <c r="E148" t="s">
        <v>497</v>
      </c>
      <c r="F148" t="s">
        <v>496</v>
      </c>
      <c r="G148" t="s">
        <v>495</v>
      </c>
      <c r="H148" t="s">
        <v>494</v>
      </c>
      <c r="I148" t="s">
        <v>496</v>
      </c>
      <c r="J148">
        <v>380060</v>
      </c>
      <c r="K148" t="b">
        <v>1</v>
      </c>
    </row>
    <row r="149" spans="1:11">
      <c r="A149" s="1" t="s">
        <v>195</v>
      </c>
      <c r="B149" t="str">
        <f t="shared" si="4"/>
        <v>Dev Chemicals, Ganesh Meridian</v>
      </c>
      <c r="C149" t="s">
        <v>499</v>
      </c>
      <c r="D149" t="s">
        <v>498</v>
      </c>
      <c r="E149" t="s">
        <v>497</v>
      </c>
      <c r="F149" t="s">
        <v>496</v>
      </c>
      <c r="G149" t="s">
        <v>495</v>
      </c>
      <c r="H149" t="s">
        <v>494</v>
      </c>
      <c r="I149" t="s">
        <v>496</v>
      </c>
      <c r="J149">
        <v>380060</v>
      </c>
      <c r="K149" t="b">
        <v>1</v>
      </c>
    </row>
    <row r="150" spans="1:11">
      <c r="A150" s="1" t="s">
        <v>227</v>
      </c>
      <c r="B150" t="str">
        <f t="shared" si="4"/>
        <v>Mit Rajendra Shah, Ganesh Meridian</v>
      </c>
      <c r="C150" t="s">
        <v>499</v>
      </c>
      <c r="D150" t="s">
        <v>498</v>
      </c>
      <c r="E150" t="s">
        <v>497</v>
      </c>
      <c r="F150" t="s">
        <v>496</v>
      </c>
      <c r="G150" t="s">
        <v>495</v>
      </c>
      <c r="H150" t="s">
        <v>494</v>
      </c>
      <c r="I150" t="s">
        <v>496</v>
      </c>
      <c r="J150">
        <v>380060</v>
      </c>
      <c r="K150" t="b">
        <v>1</v>
      </c>
    </row>
    <row r="151" spans="1:11">
      <c r="A151" s="1" t="s">
        <v>252</v>
      </c>
      <c r="B151" t="str">
        <f t="shared" si="4"/>
        <v>Nilesh D Patel , Ganesh Meridian</v>
      </c>
      <c r="C151" t="s">
        <v>499</v>
      </c>
      <c r="D151" t="s">
        <v>498</v>
      </c>
      <c r="E151" t="s">
        <v>497</v>
      </c>
      <c r="F151" t="s">
        <v>496</v>
      </c>
      <c r="G151" t="s">
        <v>495</v>
      </c>
      <c r="H151" t="s">
        <v>494</v>
      </c>
      <c r="I151" t="s">
        <v>496</v>
      </c>
      <c r="J151">
        <v>380060</v>
      </c>
      <c r="K151" t="b">
        <v>1</v>
      </c>
    </row>
    <row r="152" spans="1:11">
      <c r="A152" s="1" t="s">
        <v>311</v>
      </c>
      <c r="B152" t="str">
        <f t="shared" si="4"/>
        <v>H.V. Infotech, Ganesh Meridian</v>
      </c>
      <c r="C152" t="s">
        <v>499</v>
      </c>
      <c r="D152" t="s">
        <v>498</v>
      </c>
      <c r="E152" t="s">
        <v>497</v>
      </c>
      <c r="F152" t="s">
        <v>496</v>
      </c>
      <c r="G152" t="s">
        <v>495</v>
      </c>
      <c r="H152" t="s">
        <v>494</v>
      </c>
      <c r="I152" t="s">
        <v>496</v>
      </c>
      <c r="J152">
        <v>380060</v>
      </c>
      <c r="K152" t="b">
        <v>1</v>
      </c>
    </row>
    <row r="153" spans="1:11">
      <c r="A153" s="1" t="s">
        <v>295</v>
      </c>
      <c r="B153" t="str">
        <f t="shared" si="4"/>
        <v>Anshu Asthana, Ganesh Meridian</v>
      </c>
      <c r="C153" t="s">
        <v>499</v>
      </c>
      <c r="D153" t="s">
        <v>498</v>
      </c>
      <c r="E153" t="s">
        <v>497</v>
      </c>
      <c r="F153" t="s">
        <v>496</v>
      </c>
      <c r="G153" t="s">
        <v>495</v>
      </c>
      <c r="H153" t="s">
        <v>494</v>
      </c>
      <c r="I153" t="s">
        <v>496</v>
      </c>
      <c r="J153">
        <v>380060</v>
      </c>
      <c r="K153" t="b">
        <v>1</v>
      </c>
    </row>
    <row r="154" spans="1:11">
      <c r="A154" s="1" t="s">
        <v>455</v>
      </c>
      <c r="B154" t="str">
        <f t="shared" si="4"/>
        <v>Dashrathbhai S Patel, Ganesh Meridian</v>
      </c>
      <c r="C154" t="s">
        <v>499</v>
      </c>
      <c r="D154" t="s">
        <v>498</v>
      </c>
      <c r="E154" t="s">
        <v>497</v>
      </c>
      <c r="F154" t="s">
        <v>496</v>
      </c>
      <c r="G154" t="s">
        <v>495</v>
      </c>
      <c r="H154" t="s">
        <v>494</v>
      </c>
      <c r="I154" t="s">
        <v>496</v>
      </c>
      <c r="J154">
        <v>380060</v>
      </c>
      <c r="K154" t="b">
        <v>1</v>
      </c>
    </row>
    <row r="155" spans="1:11">
      <c r="A155" s="1" t="s">
        <v>418</v>
      </c>
      <c r="B155" t="str">
        <f t="shared" si="4"/>
        <v>Sonalika Tractor, Ganesh Meridian</v>
      </c>
      <c r="C155" t="s">
        <v>499</v>
      </c>
      <c r="D155" t="s">
        <v>498</v>
      </c>
      <c r="E155" t="s">
        <v>497</v>
      </c>
      <c r="F155" t="s">
        <v>496</v>
      </c>
      <c r="G155" t="s">
        <v>495</v>
      </c>
      <c r="H155" t="s">
        <v>494</v>
      </c>
      <c r="I155" t="s">
        <v>496</v>
      </c>
      <c r="J155">
        <v>380060</v>
      </c>
      <c r="K155" t="b">
        <v>1</v>
      </c>
    </row>
    <row r="156" spans="1:11">
      <c r="A156" s="1" t="s">
        <v>342</v>
      </c>
      <c r="B156" t="str">
        <f t="shared" si="4"/>
        <v>Rathin Prakashbhai Raval, Ganesh Meridian</v>
      </c>
      <c r="C156" t="s">
        <v>499</v>
      </c>
      <c r="D156" t="s">
        <v>498</v>
      </c>
      <c r="E156" t="s">
        <v>497</v>
      </c>
      <c r="F156" t="s">
        <v>496</v>
      </c>
      <c r="G156" t="s">
        <v>495</v>
      </c>
      <c r="H156" t="s">
        <v>494</v>
      </c>
      <c r="I156" t="s">
        <v>496</v>
      </c>
      <c r="J156">
        <v>380060</v>
      </c>
      <c r="K156" t="b">
        <v>1</v>
      </c>
    </row>
    <row r="157" spans="1:11">
      <c r="A157" s="1" t="s">
        <v>422</v>
      </c>
      <c r="B157" t="str">
        <f t="shared" si="4"/>
        <v>Apurva Rasikbhai Kapadia, Ganesh Meridian</v>
      </c>
      <c r="C157" t="s">
        <v>499</v>
      </c>
      <c r="D157" t="s">
        <v>498</v>
      </c>
      <c r="E157" t="s">
        <v>497</v>
      </c>
      <c r="F157" t="s">
        <v>496</v>
      </c>
      <c r="G157" t="s">
        <v>495</v>
      </c>
      <c r="H157" t="s">
        <v>494</v>
      </c>
      <c r="I157" t="s">
        <v>496</v>
      </c>
      <c r="J157">
        <v>380060</v>
      </c>
      <c r="K157" t="b">
        <v>1</v>
      </c>
    </row>
    <row r="158" spans="1:11">
      <c r="A158" s="1" t="s">
        <v>207</v>
      </c>
      <c r="B158" t="str">
        <f t="shared" si="4"/>
        <v>Ronak Manubhai Patel, Ganesh Meridian</v>
      </c>
      <c r="C158" t="s">
        <v>499</v>
      </c>
      <c r="D158" t="s">
        <v>498</v>
      </c>
      <c r="E158" t="s">
        <v>497</v>
      </c>
      <c r="F158" t="s">
        <v>496</v>
      </c>
      <c r="G158" t="s">
        <v>495</v>
      </c>
      <c r="H158" t="s">
        <v>494</v>
      </c>
      <c r="I158" t="s">
        <v>496</v>
      </c>
      <c r="J158">
        <v>380060</v>
      </c>
      <c r="K158" t="b">
        <v>1</v>
      </c>
    </row>
    <row r="159" spans="1:11">
      <c r="A159" s="1" t="s">
        <v>231</v>
      </c>
      <c r="B159" t="str">
        <f t="shared" si="4"/>
        <v>Nitinbhai V Patel, Ganesh Meridian</v>
      </c>
      <c r="C159" t="s">
        <v>499</v>
      </c>
      <c r="D159" t="s">
        <v>498</v>
      </c>
      <c r="E159" t="s">
        <v>497</v>
      </c>
      <c r="F159" t="s">
        <v>496</v>
      </c>
      <c r="G159" t="s">
        <v>495</v>
      </c>
      <c r="H159" t="s">
        <v>494</v>
      </c>
      <c r="I159" t="s">
        <v>496</v>
      </c>
      <c r="J159">
        <v>380060</v>
      </c>
      <c r="K159" t="b">
        <v>1</v>
      </c>
    </row>
    <row r="160" spans="1:11">
      <c r="A160" s="1" t="s">
        <v>244</v>
      </c>
      <c r="B160" t="str">
        <f t="shared" si="4"/>
        <v>Poulami Pramod Patel, Ganesh Meridian</v>
      </c>
      <c r="C160" t="s">
        <v>499</v>
      </c>
      <c r="D160" t="s">
        <v>498</v>
      </c>
      <c r="E160" t="s">
        <v>497</v>
      </c>
      <c r="F160" t="s">
        <v>496</v>
      </c>
      <c r="G160" t="s">
        <v>495</v>
      </c>
      <c r="H160" t="s">
        <v>494</v>
      </c>
      <c r="I160" t="s">
        <v>496</v>
      </c>
      <c r="J160">
        <v>380060</v>
      </c>
      <c r="K160" t="b">
        <v>1</v>
      </c>
    </row>
    <row r="161" spans="1:11">
      <c r="A161" s="1" t="s">
        <v>344</v>
      </c>
      <c r="B161" t="str">
        <f t="shared" si="4"/>
        <v>Prafulla H Gehlot, Ganesh Meridian</v>
      </c>
      <c r="C161" t="s">
        <v>499</v>
      </c>
      <c r="D161" t="s">
        <v>498</v>
      </c>
      <c r="E161" t="s">
        <v>497</v>
      </c>
      <c r="F161" t="s">
        <v>496</v>
      </c>
      <c r="G161" t="s">
        <v>495</v>
      </c>
      <c r="H161" t="s">
        <v>494</v>
      </c>
      <c r="I161" t="s">
        <v>496</v>
      </c>
      <c r="J161">
        <v>380060</v>
      </c>
      <c r="K161" t="b">
        <v>1</v>
      </c>
    </row>
    <row r="162" spans="1:11">
      <c r="A162" s="1" t="s">
        <v>187</v>
      </c>
      <c r="B162" t="str">
        <f t="shared" ref="B162:B187" si="5">A162 &amp; ", Ganesh Meridian"</f>
        <v>Sanjay Revaram Trivedi , Ganesh Meridian</v>
      </c>
      <c r="C162" t="s">
        <v>499</v>
      </c>
      <c r="D162" t="s">
        <v>498</v>
      </c>
      <c r="E162" t="s">
        <v>497</v>
      </c>
      <c r="F162" t="s">
        <v>496</v>
      </c>
      <c r="G162" t="s">
        <v>495</v>
      </c>
      <c r="H162" t="s">
        <v>494</v>
      </c>
      <c r="I162" t="s">
        <v>496</v>
      </c>
      <c r="J162">
        <v>380060</v>
      </c>
      <c r="K162" t="b">
        <v>1</v>
      </c>
    </row>
    <row r="163" spans="1:11">
      <c r="A163" s="1" t="s">
        <v>125</v>
      </c>
      <c r="B163" t="str">
        <f t="shared" si="5"/>
        <v>Hasmukhlal K Thakkar , Ganesh Meridian</v>
      </c>
      <c r="C163" t="s">
        <v>499</v>
      </c>
      <c r="D163" t="s">
        <v>498</v>
      </c>
      <c r="E163" t="s">
        <v>497</v>
      </c>
      <c r="F163" t="s">
        <v>496</v>
      </c>
      <c r="G163" t="s">
        <v>495</v>
      </c>
      <c r="H163" t="s">
        <v>494</v>
      </c>
      <c r="I163" t="s">
        <v>496</v>
      </c>
      <c r="J163">
        <v>380060</v>
      </c>
      <c r="K163" t="b">
        <v>1</v>
      </c>
    </row>
    <row r="164" spans="1:11">
      <c r="A164" s="1" t="s">
        <v>450</v>
      </c>
      <c r="B164" t="str">
        <f t="shared" si="5"/>
        <v>Devang Vyas, Ganesh Meridian</v>
      </c>
      <c r="C164" t="s">
        <v>499</v>
      </c>
      <c r="D164" t="s">
        <v>498</v>
      </c>
      <c r="E164" t="s">
        <v>497</v>
      </c>
      <c r="F164" t="s">
        <v>496</v>
      </c>
      <c r="G164" t="s">
        <v>495</v>
      </c>
      <c r="H164" t="s">
        <v>494</v>
      </c>
      <c r="I164" t="s">
        <v>496</v>
      </c>
      <c r="J164">
        <v>380060</v>
      </c>
      <c r="K164" t="b">
        <v>1</v>
      </c>
    </row>
    <row r="165" spans="1:11">
      <c r="A165" s="1" t="s">
        <v>269</v>
      </c>
      <c r="B165" t="str">
        <f t="shared" si="5"/>
        <v>Parasben J Rao, Ganesh Meridian</v>
      </c>
      <c r="C165" t="s">
        <v>499</v>
      </c>
      <c r="D165" t="s">
        <v>498</v>
      </c>
      <c r="E165" t="s">
        <v>497</v>
      </c>
      <c r="F165" t="s">
        <v>496</v>
      </c>
      <c r="G165" t="s">
        <v>495</v>
      </c>
      <c r="H165" t="s">
        <v>494</v>
      </c>
      <c r="I165" t="s">
        <v>496</v>
      </c>
      <c r="J165">
        <v>380060</v>
      </c>
      <c r="K165" t="b">
        <v>1</v>
      </c>
    </row>
    <row r="166" spans="1:11">
      <c r="A166" s="1" t="s">
        <v>315</v>
      </c>
      <c r="B166" t="str">
        <f t="shared" si="5"/>
        <v>Ashishkumar B Patel , Ganesh Meridian</v>
      </c>
      <c r="C166" t="s">
        <v>499</v>
      </c>
      <c r="D166" t="s">
        <v>498</v>
      </c>
      <c r="E166" t="s">
        <v>497</v>
      </c>
      <c r="F166" t="s">
        <v>496</v>
      </c>
      <c r="G166" t="s">
        <v>495</v>
      </c>
      <c r="H166" t="s">
        <v>494</v>
      </c>
      <c r="I166" t="s">
        <v>496</v>
      </c>
      <c r="J166">
        <v>380060</v>
      </c>
      <c r="K166" t="b">
        <v>1</v>
      </c>
    </row>
    <row r="167" spans="1:11">
      <c r="A167" s="1" t="s">
        <v>271</v>
      </c>
      <c r="B167" t="str">
        <f t="shared" si="5"/>
        <v>Jigneshbhai I Barot, Ganesh Meridian</v>
      </c>
      <c r="C167" t="s">
        <v>499</v>
      </c>
      <c r="D167" t="s">
        <v>498</v>
      </c>
      <c r="E167" t="s">
        <v>497</v>
      </c>
      <c r="F167" t="s">
        <v>496</v>
      </c>
      <c r="G167" t="s">
        <v>495</v>
      </c>
      <c r="H167" t="s">
        <v>494</v>
      </c>
      <c r="I167" t="s">
        <v>496</v>
      </c>
      <c r="J167">
        <v>380060</v>
      </c>
      <c r="K167" t="b">
        <v>1</v>
      </c>
    </row>
    <row r="168" spans="1:11">
      <c r="A168" s="1" t="s">
        <v>189</v>
      </c>
      <c r="B168" t="str">
        <f t="shared" si="5"/>
        <v>Macgray Solutions Pvt Ltd, Ganesh Meridian</v>
      </c>
      <c r="C168" t="s">
        <v>499</v>
      </c>
      <c r="D168" t="s">
        <v>498</v>
      </c>
      <c r="E168" t="s">
        <v>497</v>
      </c>
      <c r="F168" t="s">
        <v>496</v>
      </c>
      <c r="G168" t="s">
        <v>495</v>
      </c>
      <c r="H168" t="s">
        <v>494</v>
      </c>
      <c r="I168" t="s">
        <v>496</v>
      </c>
      <c r="J168">
        <v>380060</v>
      </c>
      <c r="K168" t="b">
        <v>1</v>
      </c>
    </row>
    <row r="169" spans="1:11">
      <c r="A169" s="1" t="s">
        <v>173</v>
      </c>
      <c r="B169" t="str">
        <f t="shared" si="5"/>
        <v>Vardayni Organics, Ganesh Meridian</v>
      </c>
      <c r="C169" t="s">
        <v>499</v>
      </c>
      <c r="D169" t="s">
        <v>498</v>
      </c>
      <c r="E169" t="s">
        <v>497</v>
      </c>
      <c r="F169" t="s">
        <v>496</v>
      </c>
      <c r="G169" t="s">
        <v>495</v>
      </c>
      <c r="H169" t="s">
        <v>494</v>
      </c>
      <c r="I169" t="s">
        <v>496</v>
      </c>
      <c r="J169">
        <v>380060</v>
      </c>
      <c r="K169" t="b">
        <v>1</v>
      </c>
    </row>
    <row r="170" spans="1:11">
      <c r="A170" s="1" t="s">
        <v>414</v>
      </c>
      <c r="B170" t="str">
        <f t="shared" si="5"/>
        <v>Dashrathbhai K Patel, Ganesh Meridian</v>
      </c>
      <c r="C170" t="s">
        <v>499</v>
      </c>
      <c r="D170" t="s">
        <v>498</v>
      </c>
      <c r="E170" t="s">
        <v>497</v>
      </c>
      <c r="F170" t="s">
        <v>496</v>
      </c>
      <c r="G170" t="s">
        <v>495</v>
      </c>
      <c r="H170" t="s">
        <v>494</v>
      </c>
      <c r="I170" t="s">
        <v>496</v>
      </c>
      <c r="J170">
        <v>380060</v>
      </c>
      <c r="K170" t="b">
        <v>1</v>
      </c>
    </row>
    <row r="171" spans="1:11">
      <c r="A171" s="1" t="s">
        <v>259</v>
      </c>
      <c r="B171" t="str">
        <f t="shared" si="5"/>
        <v>Priyank N Gandhi, Ganesh Meridian</v>
      </c>
      <c r="C171" t="s">
        <v>499</v>
      </c>
      <c r="D171" t="s">
        <v>498</v>
      </c>
      <c r="E171" t="s">
        <v>497</v>
      </c>
      <c r="F171" t="s">
        <v>496</v>
      </c>
      <c r="G171" t="s">
        <v>495</v>
      </c>
      <c r="H171" t="s">
        <v>494</v>
      </c>
      <c r="I171" t="s">
        <v>496</v>
      </c>
      <c r="J171">
        <v>380060</v>
      </c>
      <c r="K171" t="b">
        <v>1</v>
      </c>
    </row>
    <row r="172" spans="1:11">
      <c r="A172" s="1" t="s">
        <v>293</v>
      </c>
      <c r="B172" t="str">
        <f t="shared" si="5"/>
        <v>SOAR Technologies, Ganesh Meridian</v>
      </c>
      <c r="C172" t="s">
        <v>499</v>
      </c>
      <c r="D172" t="s">
        <v>498</v>
      </c>
      <c r="E172" t="s">
        <v>497</v>
      </c>
      <c r="F172" t="s">
        <v>496</v>
      </c>
      <c r="G172" t="s">
        <v>495</v>
      </c>
      <c r="H172" t="s">
        <v>494</v>
      </c>
      <c r="I172" t="s">
        <v>496</v>
      </c>
      <c r="J172">
        <v>380060</v>
      </c>
      <c r="K172" t="b">
        <v>1</v>
      </c>
    </row>
    <row r="173" spans="1:11">
      <c r="A173" s="1" t="s">
        <v>246</v>
      </c>
      <c r="B173" t="str">
        <f t="shared" si="5"/>
        <v>Dipalbhai G Nakrani , Ganesh Meridian</v>
      </c>
      <c r="C173" t="s">
        <v>499</v>
      </c>
      <c r="D173" t="s">
        <v>498</v>
      </c>
      <c r="E173" t="s">
        <v>497</v>
      </c>
      <c r="F173" t="s">
        <v>496</v>
      </c>
      <c r="G173" t="s">
        <v>495</v>
      </c>
      <c r="H173" t="s">
        <v>494</v>
      </c>
      <c r="I173" t="s">
        <v>496</v>
      </c>
      <c r="J173">
        <v>380060</v>
      </c>
      <c r="K173" t="b">
        <v>1</v>
      </c>
    </row>
    <row r="174" spans="1:11">
      <c r="A174" s="1" t="s">
        <v>406</v>
      </c>
      <c r="B174" t="str">
        <f t="shared" si="5"/>
        <v>Vipul Mahendrabhai Patel - HUF, Ganesh Meridian</v>
      </c>
      <c r="C174" t="s">
        <v>499</v>
      </c>
      <c r="D174" t="s">
        <v>498</v>
      </c>
      <c r="E174" t="s">
        <v>497</v>
      </c>
      <c r="F174" t="s">
        <v>496</v>
      </c>
      <c r="G174" t="s">
        <v>495</v>
      </c>
      <c r="H174" t="s">
        <v>494</v>
      </c>
      <c r="I174" t="s">
        <v>496</v>
      </c>
      <c r="J174">
        <v>380060</v>
      </c>
      <c r="K174" t="b">
        <v>1</v>
      </c>
    </row>
    <row r="175" spans="1:11">
      <c r="A175" s="1" t="s">
        <v>283</v>
      </c>
      <c r="B175" t="str">
        <f t="shared" si="5"/>
        <v>Devanshi Chirag Patel, Ganesh Meridian</v>
      </c>
      <c r="C175" t="s">
        <v>499</v>
      </c>
      <c r="D175" t="s">
        <v>498</v>
      </c>
      <c r="E175" t="s">
        <v>497</v>
      </c>
      <c r="F175" t="s">
        <v>496</v>
      </c>
      <c r="G175" t="s">
        <v>495</v>
      </c>
      <c r="H175" t="s">
        <v>494</v>
      </c>
      <c r="I175" t="s">
        <v>496</v>
      </c>
      <c r="J175">
        <v>380060</v>
      </c>
      <c r="K175" t="b">
        <v>1</v>
      </c>
    </row>
    <row r="176" spans="1:11">
      <c r="A176" s="1" t="s">
        <v>165</v>
      </c>
      <c r="B176" t="str">
        <f t="shared" si="5"/>
        <v>M_S.Bonita Farmaceuticals Pvt Ltd, Ganesh Meridian</v>
      </c>
      <c r="C176" t="s">
        <v>499</v>
      </c>
      <c r="D176" t="s">
        <v>498</v>
      </c>
      <c r="E176" t="s">
        <v>497</v>
      </c>
      <c r="F176" t="s">
        <v>496</v>
      </c>
      <c r="G176" t="s">
        <v>495</v>
      </c>
      <c r="H176" t="s">
        <v>494</v>
      </c>
      <c r="I176" t="s">
        <v>496</v>
      </c>
      <c r="J176">
        <v>380060</v>
      </c>
      <c r="K176" t="b">
        <v>1</v>
      </c>
    </row>
    <row r="177" spans="1:11">
      <c r="A177" s="1" t="s">
        <v>277</v>
      </c>
      <c r="B177" t="str">
        <f t="shared" si="5"/>
        <v>Pcot Export, Ganesh Meridian</v>
      </c>
      <c r="C177" t="s">
        <v>499</v>
      </c>
      <c r="D177" t="s">
        <v>498</v>
      </c>
      <c r="E177" t="s">
        <v>497</v>
      </c>
      <c r="F177" t="s">
        <v>496</v>
      </c>
      <c r="G177" t="s">
        <v>495</v>
      </c>
      <c r="H177" t="s">
        <v>494</v>
      </c>
      <c r="I177" t="s">
        <v>496</v>
      </c>
      <c r="J177">
        <v>380060</v>
      </c>
      <c r="K177" t="b">
        <v>1</v>
      </c>
    </row>
    <row r="178" spans="1:11">
      <c r="A178" s="1" t="s">
        <v>385</v>
      </c>
      <c r="B178" t="str">
        <f t="shared" si="5"/>
        <v>Vinod Jivrajbhai Chotaliya, Ganesh Meridian</v>
      </c>
      <c r="C178" t="s">
        <v>499</v>
      </c>
      <c r="D178" t="s">
        <v>498</v>
      </c>
      <c r="E178" t="s">
        <v>497</v>
      </c>
      <c r="F178" t="s">
        <v>496</v>
      </c>
      <c r="G178" t="s">
        <v>495</v>
      </c>
      <c r="H178" t="s">
        <v>494</v>
      </c>
      <c r="I178" t="s">
        <v>496</v>
      </c>
      <c r="J178">
        <v>380060</v>
      </c>
      <c r="K178" t="b">
        <v>1</v>
      </c>
    </row>
    <row r="179" spans="1:11">
      <c r="A179" s="1" t="s">
        <v>113</v>
      </c>
      <c r="B179" t="str">
        <f t="shared" si="5"/>
        <v>Gabon Seramik Pvt Ltd, Ganesh Meridian</v>
      </c>
      <c r="C179" t="s">
        <v>499</v>
      </c>
      <c r="D179" t="s">
        <v>498</v>
      </c>
      <c r="E179" t="s">
        <v>497</v>
      </c>
      <c r="F179" t="s">
        <v>496</v>
      </c>
      <c r="G179" t="s">
        <v>495</v>
      </c>
      <c r="H179" t="s">
        <v>494</v>
      </c>
      <c r="I179" t="s">
        <v>496</v>
      </c>
      <c r="J179">
        <v>380060</v>
      </c>
      <c r="K179" t="b">
        <v>1</v>
      </c>
    </row>
    <row r="180" spans="1:11">
      <c r="A180" s="1" t="s">
        <v>323</v>
      </c>
      <c r="B180" t="str">
        <f t="shared" si="5"/>
        <v>M_S.Alpesh Infrastructure Pvt Ltd, Ganesh Meridian</v>
      </c>
      <c r="C180" t="s">
        <v>499</v>
      </c>
      <c r="D180" t="s">
        <v>498</v>
      </c>
      <c r="E180" t="s">
        <v>497</v>
      </c>
      <c r="F180" t="s">
        <v>496</v>
      </c>
      <c r="G180" t="s">
        <v>495</v>
      </c>
      <c r="H180" t="s">
        <v>494</v>
      </c>
      <c r="I180" t="s">
        <v>496</v>
      </c>
      <c r="J180">
        <v>380060</v>
      </c>
      <c r="K180" t="b">
        <v>1</v>
      </c>
    </row>
    <row r="181" spans="1:11">
      <c r="A181" s="1" t="s">
        <v>426</v>
      </c>
      <c r="B181" t="str">
        <f t="shared" si="5"/>
        <v>Jayeshkumar Rambhai Patel, Ganesh Meridian</v>
      </c>
      <c r="C181" t="s">
        <v>499</v>
      </c>
      <c r="D181" t="s">
        <v>498</v>
      </c>
      <c r="E181" t="s">
        <v>497</v>
      </c>
      <c r="F181" t="s">
        <v>496</v>
      </c>
      <c r="G181" t="s">
        <v>495</v>
      </c>
      <c r="H181" t="s">
        <v>494</v>
      </c>
      <c r="I181" t="s">
        <v>496</v>
      </c>
      <c r="J181">
        <v>380060</v>
      </c>
      <c r="K181" t="b">
        <v>1</v>
      </c>
    </row>
    <row r="182" spans="1:11">
      <c r="A182" s="1" t="s">
        <v>400</v>
      </c>
      <c r="B182" t="str">
        <f t="shared" si="5"/>
        <v>Shantibhai Prabhubhai Patel, Ganesh Meridian</v>
      </c>
      <c r="C182" t="s">
        <v>499</v>
      </c>
      <c r="D182" t="s">
        <v>498</v>
      </c>
      <c r="E182" t="s">
        <v>497</v>
      </c>
      <c r="F182" t="s">
        <v>496</v>
      </c>
      <c r="G182" t="s">
        <v>495</v>
      </c>
      <c r="H182" t="s">
        <v>494</v>
      </c>
      <c r="I182" t="s">
        <v>496</v>
      </c>
      <c r="J182">
        <v>380060</v>
      </c>
      <c r="K182" t="b">
        <v>1</v>
      </c>
    </row>
    <row r="183" spans="1:11">
      <c r="A183" s="1" t="s">
        <v>446</v>
      </c>
      <c r="B183" t="str">
        <f t="shared" si="5"/>
        <v>Jayeshbhai A Patel, Ganesh Meridian</v>
      </c>
      <c r="C183" t="s">
        <v>499</v>
      </c>
      <c r="D183" t="s">
        <v>498</v>
      </c>
      <c r="E183" t="s">
        <v>497</v>
      </c>
      <c r="F183" t="s">
        <v>496</v>
      </c>
      <c r="G183" t="s">
        <v>495</v>
      </c>
      <c r="H183" t="s">
        <v>494</v>
      </c>
      <c r="I183" t="s">
        <v>496</v>
      </c>
      <c r="J183">
        <v>380060</v>
      </c>
      <c r="K183" t="b">
        <v>1</v>
      </c>
    </row>
    <row r="184" spans="1:11">
      <c r="A184" s="1" t="s">
        <v>434</v>
      </c>
      <c r="B184" t="str">
        <f t="shared" si="5"/>
        <v>Mitesh Bhammar, Ganesh Meridian</v>
      </c>
      <c r="C184" t="s">
        <v>499</v>
      </c>
      <c r="D184" t="s">
        <v>498</v>
      </c>
      <c r="E184" t="s">
        <v>497</v>
      </c>
      <c r="F184" t="s">
        <v>496</v>
      </c>
      <c r="G184" t="s">
        <v>495</v>
      </c>
      <c r="H184" t="s">
        <v>494</v>
      </c>
      <c r="I184" t="s">
        <v>496</v>
      </c>
      <c r="J184">
        <v>380060</v>
      </c>
      <c r="K184" t="b">
        <v>1</v>
      </c>
    </row>
    <row r="185" spans="1:11">
      <c r="A185" s="1" t="s">
        <v>364</v>
      </c>
      <c r="B185" t="str">
        <f t="shared" si="5"/>
        <v>Sapphire Software Solution, Ganesh Meridian</v>
      </c>
      <c r="C185" t="s">
        <v>499</v>
      </c>
      <c r="D185" t="s">
        <v>498</v>
      </c>
      <c r="E185" t="s">
        <v>497</v>
      </c>
      <c r="F185" t="s">
        <v>496</v>
      </c>
      <c r="G185" t="s">
        <v>495</v>
      </c>
      <c r="H185" t="s">
        <v>494</v>
      </c>
      <c r="I185" t="s">
        <v>496</v>
      </c>
      <c r="J185">
        <v>380060</v>
      </c>
      <c r="K185" t="b">
        <v>1</v>
      </c>
    </row>
    <row r="186" spans="1:11">
      <c r="A186" s="1" t="s">
        <v>167</v>
      </c>
      <c r="B186" t="str">
        <f t="shared" si="5"/>
        <v>Uday Amin, Ganesh Meridian</v>
      </c>
      <c r="C186" t="s">
        <v>499</v>
      </c>
      <c r="D186" t="s">
        <v>498</v>
      </c>
      <c r="E186" t="s">
        <v>497</v>
      </c>
      <c r="F186" t="s">
        <v>496</v>
      </c>
      <c r="G186" t="s">
        <v>495</v>
      </c>
      <c r="H186" t="s">
        <v>494</v>
      </c>
      <c r="I186" t="s">
        <v>496</v>
      </c>
      <c r="J186">
        <v>380060</v>
      </c>
      <c r="K186" t="b">
        <v>1</v>
      </c>
    </row>
    <row r="187" spans="1:11">
      <c r="A187" s="1" t="s">
        <v>223</v>
      </c>
      <c r="B187" t="str">
        <f t="shared" si="5"/>
        <v>Nimit Shukla, Ganesh Meridian</v>
      </c>
      <c r="C187" t="s">
        <v>499</v>
      </c>
      <c r="D187" t="s">
        <v>498</v>
      </c>
      <c r="E187" t="s">
        <v>497</v>
      </c>
      <c r="F187" t="s">
        <v>496</v>
      </c>
      <c r="G187" t="s">
        <v>495</v>
      </c>
      <c r="H187" t="s">
        <v>494</v>
      </c>
      <c r="I187" t="s">
        <v>496</v>
      </c>
      <c r="J187">
        <v>380060</v>
      </c>
      <c r="K187" t="b">
        <v>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87"/>
  <sheetViews>
    <sheetView topLeftCell="E1" workbookViewId="0">
      <selection activeCell="N1" sqref="N1"/>
    </sheetView>
  </sheetViews>
  <sheetFormatPr defaultRowHeight="15"/>
  <cols>
    <col min="1" max="1" width="52.85546875" bestFit="1" customWidth="1"/>
    <col min="2" max="2" width="56.42578125" bestFit="1" customWidth="1"/>
    <col min="3" max="3" width="57.140625" bestFit="1" customWidth="1"/>
    <col min="4" max="4" width="56.28515625" bestFit="1" customWidth="1"/>
    <col min="5" max="5" width="15.28515625" customWidth="1"/>
    <col min="6" max="6" width="23.5703125" customWidth="1"/>
    <col min="7" max="7" width="18.7109375" customWidth="1"/>
    <col min="8" max="8" width="19.5703125" customWidth="1"/>
    <col min="9" max="9" width="21" customWidth="1"/>
    <col min="10" max="10" width="17.140625" customWidth="1"/>
    <col min="12" max="12" width="15.85546875" bestFit="1" customWidth="1"/>
    <col min="13" max="13" width="13.28515625" bestFit="1" customWidth="1"/>
    <col min="14" max="14" width="19.140625" bestFit="1" customWidth="1"/>
    <col min="15" max="16384" width="9.140625" style="11"/>
  </cols>
  <sheetData>
    <row r="1" spans="1:14" s="10" customFormat="1">
      <c r="A1" s="7" t="s">
        <v>548</v>
      </c>
      <c r="B1" s="7" t="s">
        <v>521</v>
      </c>
      <c r="C1" s="7" t="s">
        <v>520</v>
      </c>
      <c r="D1" s="7" t="s">
        <v>519</v>
      </c>
      <c r="E1" s="7" t="s">
        <v>518</v>
      </c>
      <c r="F1" s="7" t="s">
        <v>517</v>
      </c>
      <c r="G1" s="7" t="s">
        <v>516</v>
      </c>
      <c r="H1" s="7" t="s">
        <v>515</v>
      </c>
      <c r="I1" s="7" t="s">
        <v>514</v>
      </c>
      <c r="J1" s="7" t="s">
        <v>513</v>
      </c>
      <c r="K1" s="7" t="s">
        <v>512</v>
      </c>
      <c r="L1" s="7" t="s">
        <v>511</v>
      </c>
      <c r="M1" s="7" t="s">
        <v>510</v>
      </c>
      <c r="N1" s="7" t="s">
        <v>549</v>
      </c>
    </row>
    <row r="2" spans="1:14">
      <c r="A2" s="1" t="s">
        <v>127</v>
      </c>
      <c r="B2" t="str">
        <f t="shared" ref="B2:B33" si="0">"FN_"&amp;A2</f>
        <v>FN_M_S.Desai &amp; Co. Proprietor Desai Nimbeshwar Gudadram</v>
      </c>
      <c r="C2" t="str">
        <f t="shared" ref="C2:C33" si="1">"MN_"&amp;A2</f>
        <v>MN_M_S.Desai &amp; Co. Proprietor Desai Nimbeshwar Gudadram</v>
      </c>
      <c r="D2" t="str">
        <f t="shared" ref="D2:D33" si="2">"LN_"&amp;A2</f>
        <v>LN_M_S.Desai &amp; Co. Proprietor Desai Nimbeshwar Gudadram</v>
      </c>
      <c r="E2" s="4">
        <v>9000000000</v>
      </c>
      <c r="F2" s="4">
        <v>8000000000</v>
      </c>
      <c r="G2" s="4" t="str">
        <f t="shared" ref="G2:G33" si="3">"PE"&amp;A2&amp;"@Ganeshmeradian.live"</f>
        <v>PEM_S.Desai &amp; Co. Proprietor Desai Nimbeshwar Gudadram@Ganeshmeradian.live</v>
      </c>
      <c r="H2" s="4" t="e">
        <f>"AE" &amp;#REF! &amp; "@ganeshmeridian.live"</f>
        <v>#REF!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s">
        <v>509</v>
      </c>
    </row>
    <row r="3" spans="1:14">
      <c r="A3" s="2" t="s">
        <v>279</v>
      </c>
      <c r="B3" t="str">
        <f t="shared" si="0"/>
        <v>FN_Somabhai Kuberbhai Prajapati</v>
      </c>
      <c r="C3" t="str">
        <f t="shared" si="1"/>
        <v>MN_Somabhai Kuberbhai Prajapati</v>
      </c>
      <c r="D3" t="str">
        <f t="shared" si="2"/>
        <v>LN_Somabhai Kuberbhai Prajapati</v>
      </c>
      <c r="E3" s="4">
        <v>9000000001</v>
      </c>
      <c r="F3" s="4">
        <v>8000000001</v>
      </c>
      <c r="G3" s="4" t="str">
        <f t="shared" si="3"/>
        <v>PESomabhai Kuberbhai Prajapati@Ganeshmeradian.live</v>
      </c>
      <c r="H3" s="4" t="e">
        <f>"AE" &amp;#REF! &amp; "@ganeshmeridian.live"</f>
        <v>#REF!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s">
        <v>509</v>
      </c>
    </row>
    <row r="4" spans="1:14">
      <c r="A4" s="1" t="s">
        <v>378</v>
      </c>
      <c r="B4" t="str">
        <f t="shared" si="0"/>
        <v>FN_A. D. Patel</v>
      </c>
      <c r="C4" t="str">
        <f t="shared" si="1"/>
        <v>MN_A. D. Patel</v>
      </c>
      <c r="D4" t="str">
        <f t="shared" si="2"/>
        <v>LN_A. D. Patel</v>
      </c>
      <c r="E4" s="4">
        <v>9000000002</v>
      </c>
      <c r="F4" s="4">
        <v>8000000002</v>
      </c>
      <c r="G4" s="4" t="str">
        <f t="shared" si="3"/>
        <v>PEA. D. Patel@Ganeshmeradian.live</v>
      </c>
      <c r="H4" s="4" t="e">
        <f>"AE" &amp;#REF! &amp; "@ganeshmeridian.live"</f>
        <v>#REF!</v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s">
        <v>509</v>
      </c>
    </row>
    <row r="5" spans="1:14">
      <c r="A5" s="2" t="s">
        <v>440</v>
      </c>
      <c r="B5" t="str">
        <f t="shared" si="0"/>
        <v>FN_Viaan Solutions LLP</v>
      </c>
      <c r="C5" t="str">
        <f t="shared" si="1"/>
        <v>MN_Viaan Solutions LLP</v>
      </c>
      <c r="D5" t="str">
        <f t="shared" si="2"/>
        <v>LN_Viaan Solutions LLP</v>
      </c>
      <c r="E5" s="4">
        <v>9000000003</v>
      </c>
      <c r="F5" s="4">
        <v>8000000003</v>
      </c>
      <c r="G5" s="4" t="str">
        <f t="shared" si="3"/>
        <v>PEViaan Solutions LLP@Ganeshmeradian.live</v>
      </c>
      <c r="H5" s="4" t="e">
        <f>"AE" &amp;#REF! &amp; "@ganeshmeridian.live"</f>
        <v>#REF!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s">
        <v>509</v>
      </c>
    </row>
    <row r="6" spans="1:14">
      <c r="A6" s="2" t="s">
        <v>24</v>
      </c>
      <c r="B6" t="str">
        <f t="shared" si="0"/>
        <v xml:space="preserve">FN_Tejas Manilal Patel </v>
      </c>
      <c r="C6" t="str">
        <f t="shared" si="1"/>
        <v xml:space="preserve">MN_Tejas Manilal Patel </v>
      </c>
      <c r="D6" t="str">
        <f t="shared" si="2"/>
        <v xml:space="preserve">LN_Tejas Manilal Patel </v>
      </c>
      <c r="E6" s="4">
        <v>9000000004</v>
      </c>
      <c r="F6" s="4">
        <v>8000000004</v>
      </c>
      <c r="G6" s="4" t="str">
        <f t="shared" si="3"/>
        <v>PETejas Manilal Patel @Ganeshmeradian.live</v>
      </c>
      <c r="H6" s="4" t="e">
        <f>"AE" &amp;#REF! &amp; "@ganeshmeridian.live"</f>
        <v>#REF!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s">
        <v>509</v>
      </c>
    </row>
    <row r="7" spans="1:14">
      <c r="A7" s="1" t="s">
        <v>305</v>
      </c>
      <c r="B7" t="str">
        <f t="shared" si="0"/>
        <v>FN_Uniza Healthcare LLP</v>
      </c>
      <c r="C7" t="str">
        <f t="shared" si="1"/>
        <v>MN_Uniza Healthcare LLP</v>
      </c>
      <c r="D7" t="str">
        <f t="shared" si="2"/>
        <v>LN_Uniza Healthcare LLP</v>
      </c>
      <c r="E7" s="4">
        <v>9000000006</v>
      </c>
      <c r="F7" s="4">
        <v>8000000006</v>
      </c>
      <c r="G7" s="4" t="str">
        <f t="shared" si="3"/>
        <v>PEUniza Healthcare LLP@Ganeshmeradian.live</v>
      </c>
      <c r="H7" s="4" t="e">
        <f>"AE" &amp;#REF! &amp; "@ganeshmeridian.live"</f>
        <v>#REF!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s">
        <v>509</v>
      </c>
    </row>
    <row r="8" spans="1:14">
      <c r="A8" s="1" t="s">
        <v>267</v>
      </c>
      <c r="B8" t="str">
        <f t="shared" si="0"/>
        <v>FN_Jagdishsinh Mansinh Rao</v>
      </c>
      <c r="C8" t="str">
        <f t="shared" si="1"/>
        <v>MN_Jagdishsinh Mansinh Rao</v>
      </c>
      <c r="D8" t="str">
        <f t="shared" si="2"/>
        <v>LN_Jagdishsinh Mansinh Rao</v>
      </c>
      <c r="E8" s="4">
        <v>9000000007</v>
      </c>
      <c r="F8" s="4">
        <v>8000000007</v>
      </c>
      <c r="G8" s="4" t="str">
        <f t="shared" si="3"/>
        <v>PEJagdishsinh Mansinh Rao@Ganeshmeradian.live</v>
      </c>
      <c r="H8" s="4" t="e">
        <f>"AE" &amp;#REF! &amp; "@ganeshmeridian.live"</f>
        <v>#REF!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s">
        <v>509</v>
      </c>
    </row>
    <row r="9" spans="1:14">
      <c r="A9" s="1" t="s">
        <v>356</v>
      </c>
      <c r="B9" t="str">
        <f t="shared" si="0"/>
        <v>FN_Arjun Sheth&amp;Associate</v>
      </c>
      <c r="C9" t="str">
        <f t="shared" si="1"/>
        <v>MN_Arjun Sheth&amp;Associate</v>
      </c>
      <c r="D9" t="str">
        <f t="shared" si="2"/>
        <v>LN_Arjun Sheth&amp;Associate</v>
      </c>
      <c r="E9" s="4">
        <v>9000000008</v>
      </c>
      <c r="F9" s="4">
        <v>8000000008</v>
      </c>
      <c r="G9" s="4" t="str">
        <f t="shared" si="3"/>
        <v>PEArjun Sheth&amp;Associate@Ganeshmeradian.live</v>
      </c>
      <c r="H9" s="4" t="e">
        <f>"AE" &amp;#REF! &amp; "@ganeshmeridian.live"</f>
        <v>#REF!</v>
      </c>
      <c r="I9" t="b">
        <v>1</v>
      </c>
      <c r="J9" t="b">
        <v>0</v>
      </c>
      <c r="K9" t="b">
        <v>1</v>
      </c>
      <c r="L9" t="b">
        <v>1</v>
      </c>
      <c r="M9" t="b">
        <v>0</v>
      </c>
      <c r="N9" t="s">
        <v>509</v>
      </c>
    </row>
    <row r="10" spans="1:14">
      <c r="A10" s="1" t="s">
        <v>197</v>
      </c>
      <c r="B10" t="str">
        <f t="shared" si="0"/>
        <v>FN_Ashlesha Mansukhbhai Patel</v>
      </c>
      <c r="C10" t="str">
        <f t="shared" si="1"/>
        <v>MN_Ashlesha Mansukhbhai Patel</v>
      </c>
      <c r="D10" t="str">
        <f t="shared" si="2"/>
        <v>LN_Ashlesha Mansukhbhai Patel</v>
      </c>
      <c r="E10" s="4">
        <v>9000000009</v>
      </c>
      <c r="F10" s="4">
        <v>8000000009</v>
      </c>
      <c r="G10" s="4" t="str">
        <f t="shared" si="3"/>
        <v>PEAshlesha Mansukhbhai Patel@Ganeshmeradian.live</v>
      </c>
      <c r="H10" s="4" t="e">
        <f>"AE" &amp;#REF! &amp; "@ganeshmeridian.live"</f>
        <v>#REF!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s">
        <v>509</v>
      </c>
    </row>
    <row r="11" spans="1:14">
      <c r="A11" s="1" t="s">
        <v>209</v>
      </c>
      <c r="B11" t="str">
        <f t="shared" si="0"/>
        <v>FN_Sagarbhai R Desai</v>
      </c>
      <c r="C11" t="str">
        <f t="shared" si="1"/>
        <v>MN_Sagarbhai R Desai</v>
      </c>
      <c r="D11" t="str">
        <f t="shared" si="2"/>
        <v>LN_Sagarbhai R Desai</v>
      </c>
      <c r="E11" s="4">
        <v>9000000010</v>
      </c>
      <c r="F11" s="4">
        <v>8000000010</v>
      </c>
      <c r="G11" s="4" t="str">
        <f t="shared" si="3"/>
        <v>PESagarbhai R Desai@Ganeshmeradian.live</v>
      </c>
      <c r="H11" s="4" t="e">
        <f>"AE" &amp;#REF! &amp; "@ganeshmeridian.live"</f>
        <v>#REF!</v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s">
        <v>509</v>
      </c>
    </row>
    <row r="12" spans="1:14">
      <c r="A12" s="1" t="s">
        <v>38</v>
      </c>
      <c r="B12" t="str">
        <f t="shared" si="0"/>
        <v>FN_Shashikantbhai P Patel</v>
      </c>
      <c r="C12" t="str">
        <f t="shared" si="1"/>
        <v>MN_Shashikantbhai P Patel</v>
      </c>
      <c r="D12" t="str">
        <f t="shared" si="2"/>
        <v>LN_Shashikantbhai P Patel</v>
      </c>
      <c r="E12" s="4">
        <v>9000000011</v>
      </c>
      <c r="F12" s="4">
        <v>8000000011</v>
      </c>
      <c r="G12" s="4" t="str">
        <f t="shared" si="3"/>
        <v>PEShashikantbhai P Patel@Ganeshmeradian.live</v>
      </c>
      <c r="H12" s="4" t="e">
        <f>"AE" &amp;#REF! &amp; "@ganeshmeridian.live"</f>
        <v>#REF!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s">
        <v>509</v>
      </c>
    </row>
    <row r="13" spans="1:14">
      <c r="A13" s="1" t="s">
        <v>371</v>
      </c>
      <c r="B13" t="str">
        <f t="shared" si="0"/>
        <v>FN_Synbio Technova P. Ltd</v>
      </c>
      <c r="C13" t="str">
        <f t="shared" si="1"/>
        <v>MN_Synbio Technova P. Ltd</v>
      </c>
      <c r="D13" t="str">
        <f t="shared" si="2"/>
        <v>LN_Synbio Technova P. Ltd</v>
      </c>
      <c r="E13" s="4">
        <v>9000000012</v>
      </c>
      <c r="F13" s="4">
        <v>8000000012</v>
      </c>
      <c r="G13" s="4" t="str">
        <f t="shared" si="3"/>
        <v>PESynbio Technova P. Ltd@Ganeshmeradian.live</v>
      </c>
      <c r="H13" s="4" t="e">
        <f>"AE" &amp;#REF! &amp; "@ganeshmeridian.live"</f>
        <v>#REF!</v>
      </c>
      <c r="I13" t="b">
        <v>1</v>
      </c>
      <c r="J13" t="b">
        <v>0</v>
      </c>
      <c r="K13" t="b">
        <v>1</v>
      </c>
      <c r="L13" t="b">
        <v>1</v>
      </c>
      <c r="M13" t="b">
        <v>0</v>
      </c>
      <c r="N13" t="s">
        <v>509</v>
      </c>
    </row>
    <row r="14" spans="1:14">
      <c r="A14" s="1" t="s">
        <v>436</v>
      </c>
      <c r="B14" t="str">
        <f t="shared" si="0"/>
        <v>FN_Qodic Technosoft LLP</v>
      </c>
      <c r="C14" t="str">
        <f t="shared" si="1"/>
        <v>MN_Qodic Technosoft LLP</v>
      </c>
      <c r="D14" t="str">
        <f t="shared" si="2"/>
        <v>LN_Qodic Technosoft LLP</v>
      </c>
      <c r="E14" s="4">
        <v>9000000013</v>
      </c>
      <c r="F14" s="4">
        <v>8000000013</v>
      </c>
      <c r="G14" s="4" t="str">
        <f t="shared" si="3"/>
        <v>PEQodic Technosoft LLP@Ganeshmeradian.live</v>
      </c>
      <c r="H14" s="4" t="e">
        <f>"AE" &amp;#REF! &amp; "@ganeshmeridian.live"</f>
        <v>#REF!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s">
        <v>509</v>
      </c>
    </row>
    <row r="15" spans="1:14">
      <c r="A15" s="1" t="s">
        <v>457</v>
      </c>
      <c r="B15" t="str">
        <f t="shared" si="0"/>
        <v>FN_BVC Logistic Pvt  Ltd</v>
      </c>
      <c r="C15" t="str">
        <f t="shared" si="1"/>
        <v>MN_BVC Logistic Pvt  Ltd</v>
      </c>
      <c r="D15" t="str">
        <f t="shared" si="2"/>
        <v>LN_BVC Logistic Pvt  Ltd</v>
      </c>
      <c r="E15" s="4">
        <v>9000000014</v>
      </c>
      <c r="F15" s="4">
        <v>8000000014</v>
      </c>
      <c r="G15" s="4" t="str">
        <f t="shared" si="3"/>
        <v>PEBVC Logistic Pvt  Ltd@Ganeshmeradian.live</v>
      </c>
      <c r="H15" s="4" t="e">
        <f>"AE" &amp;#REF! &amp; "@ganeshmeridian.live"</f>
        <v>#REF!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s">
        <v>509</v>
      </c>
    </row>
    <row r="16" spans="1:14">
      <c r="A16" s="1" t="s">
        <v>291</v>
      </c>
      <c r="B16" t="str">
        <f t="shared" si="0"/>
        <v>FN_M_S.Shree Developers</v>
      </c>
      <c r="C16" t="str">
        <f t="shared" si="1"/>
        <v>MN_M_S.Shree Developers</v>
      </c>
      <c r="D16" t="str">
        <f t="shared" si="2"/>
        <v>LN_M_S.Shree Developers</v>
      </c>
      <c r="E16" s="4">
        <v>9000000015</v>
      </c>
      <c r="F16" s="4">
        <v>8000000015</v>
      </c>
      <c r="G16" s="4" t="str">
        <f t="shared" si="3"/>
        <v>PEM_S.Shree Developers@Ganeshmeradian.live</v>
      </c>
      <c r="H16" s="4" t="e">
        <f>"AE" &amp;#REF! &amp; "@ganeshmeridian.live"</f>
        <v>#REF!</v>
      </c>
      <c r="I16" t="b">
        <v>1</v>
      </c>
      <c r="J16" t="b">
        <v>0</v>
      </c>
      <c r="K16" t="b">
        <v>1</v>
      </c>
      <c r="L16" t="b">
        <v>1</v>
      </c>
      <c r="M16" t="b">
        <v>0</v>
      </c>
      <c r="N16" t="s">
        <v>509</v>
      </c>
    </row>
    <row r="17" spans="1:14">
      <c r="A17" s="1" t="s">
        <v>32</v>
      </c>
      <c r="B17" t="str">
        <f t="shared" si="0"/>
        <v>FN_Cengres Tiles Ltd.</v>
      </c>
      <c r="C17" t="str">
        <f t="shared" si="1"/>
        <v>MN_Cengres Tiles Ltd.</v>
      </c>
      <c r="D17" t="str">
        <f t="shared" si="2"/>
        <v>LN_Cengres Tiles Ltd.</v>
      </c>
      <c r="E17" s="4">
        <v>9000000016</v>
      </c>
      <c r="F17" s="4">
        <v>8000000016</v>
      </c>
      <c r="G17" s="4" t="str">
        <f t="shared" si="3"/>
        <v>PECengres Tiles Ltd.@Ganeshmeradian.live</v>
      </c>
      <c r="H17" s="4" t="e">
        <f>"AE" &amp;#REF! &amp; "@ganeshmeridian.live"</f>
        <v>#REF!</v>
      </c>
      <c r="I17" t="b">
        <v>1</v>
      </c>
      <c r="J17" t="b">
        <v>0</v>
      </c>
      <c r="K17" t="b">
        <v>1</v>
      </c>
      <c r="L17" t="b">
        <v>1</v>
      </c>
      <c r="M17" t="b">
        <v>0</v>
      </c>
      <c r="N17" t="s">
        <v>509</v>
      </c>
    </row>
    <row r="18" spans="1:14">
      <c r="A18" s="1" t="s">
        <v>395</v>
      </c>
      <c r="B18" t="str">
        <f t="shared" si="0"/>
        <v>FN_Jagdishbhai Nathabhai Patel</v>
      </c>
      <c r="C18" t="str">
        <f t="shared" si="1"/>
        <v>MN_Jagdishbhai Nathabhai Patel</v>
      </c>
      <c r="D18" t="str">
        <f t="shared" si="2"/>
        <v>LN_Jagdishbhai Nathabhai Patel</v>
      </c>
      <c r="E18" s="4">
        <v>9000000017</v>
      </c>
      <c r="F18" s="4">
        <v>8000000017</v>
      </c>
      <c r="G18" s="4" t="str">
        <f t="shared" si="3"/>
        <v>PEJagdishbhai Nathabhai Patel@Ganeshmeradian.live</v>
      </c>
      <c r="H18" s="4" t="e">
        <f>"AE" &amp;#REF! &amp; "@ganeshmeridian.live"</f>
        <v>#REF!</v>
      </c>
      <c r="I18" t="b">
        <v>1</v>
      </c>
      <c r="J18" t="b">
        <v>0</v>
      </c>
      <c r="K18" t="b">
        <v>1</v>
      </c>
      <c r="L18" t="b">
        <v>1</v>
      </c>
      <c r="M18" t="b">
        <v>0</v>
      </c>
      <c r="N18" t="s">
        <v>509</v>
      </c>
    </row>
    <row r="19" spans="1:14">
      <c r="A19" s="1" t="s">
        <v>142</v>
      </c>
      <c r="B19" t="str">
        <f t="shared" si="0"/>
        <v>FN_B.K. Patel</v>
      </c>
      <c r="C19" t="str">
        <f t="shared" si="1"/>
        <v>MN_B.K. Patel</v>
      </c>
      <c r="D19" t="str">
        <f t="shared" si="2"/>
        <v>LN_B.K. Patel</v>
      </c>
      <c r="E19" s="4">
        <v>9000000018</v>
      </c>
      <c r="F19" s="4">
        <v>8000000018</v>
      </c>
      <c r="G19" s="4" t="str">
        <f t="shared" si="3"/>
        <v>PEB.K. Patel@Ganeshmeradian.live</v>
      </c>
      <c r="H19" s="4" t="e">
        <f>"AE" &amp;#REF! &amp; "@ganeshmeridian.live"</f>
        <v>#REF!</v>
      </c>
      <c r="I19" t="b">
        <v>1</v>
      </c>
      <c r="J19" t="b">
        <v>0</v>
      </c>
      <c r="K19" t="b">
        <v>1</v>
      </c>
      <c r="L19" t="b">
        <v>1</v>
      </c>
      <c r="M19" t="b">
        <v>0</v>
      </c>
      <c r="N19" t="s">
        <v>509</v>
      </c>
    </row>
    <row r="20" spans="1:14">
      <c r="A20" s="1" t="s">
        <v>331</v>
      </c>
      <c r="B20" t="str">
        <f t="shared" si="0"/>
        <v>FN_Monil Hasmukhbhai Parikh</v>
      </c>
      <c r="C20" t="str">
        <f t="shared" si="1"/>
        <v>MN_Monil Hasmukhbhai Parikh</v>
      </c>
      <c r="D20" t="str">
        <f t="shared" si="2"/>
        <v>LN_Monil Hasmukhbhai Parikh</v>
      </c>
      <c r="E20" s="4">
        <v>9000000019</v>
      </c>
      <c r="F20" s="4">
        <v>8000000019</v>
      </c>
      <c r="G20" s="4" t="str">
        <f t="shared" si="3"/>
        <v>PEMonil Hasmukhbhai Parikh@Ganeshmeradian.live</v>
      </c>
      <c r="H20" s="4" t="e">
        <f>"AE" &amp;#REF! &amp; "@ganeshmeridian.live"</f>
        <v>#REF!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s">
        <v>509</v>
      </c>
    </row>
    <row r="21" spans="1:14">
      <c r="A21" s="1" t="s">
        <v>382</v>
      </c>
      <c r="B21" t="str">
        <f t="shared" si="0"/>
        <v>FN_Ganpat University</v>
      </c>
      <c r="C21" t="str">
        <f t="shared" si="1"/>
        <v>MN_Ganpat University</v>
      </c>
      <c r="D21" t="str">
        <f t="shared" si="2"/>
        <v>LN_Ganpat University</v>
      </c>
      <c r="E21" s="4">
        <v>9000000020</v>
      </c>
      <c r="F21" s="4">
        <v>8000000020</v>
      </c>
      <c r="G21" s="4" t="str">
        <f t="shared" si="3"/>
        <v>PEGanpat University@Ganeshmeradian.live</v>
      </c>
      <c r="H21" s="4" t="e">
        <f>"AE" &amp;#REF! &amp; "@ganeshmeridian.live"</f>
        <v>#REF!</v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s">
        <v>509</v>
      </c>
    </row>
    <row r="22" spans="1:14">
      <c r="A22" s="1" t="s">
        <v>18</v>
      </c>
      <c r="B22" t="str">
        <f t="shared" si="0"/>
        <v>FN_Nayana Rajnikant Patel</v>
      </c>
      <c r="C22" t="str">
        <f t="shared" si="1"/>
        <v>MN_Nayana Rajnikant Patel</v>
      </c>
      <c r="D22" t="str">
        <f t="shared" si="2"/>
        <v>LN_Nayana Rajnikant Patel</v>
      </c>
      <c r="E22" s="4">
        <v>9000000021</v>
      </c>
      <c r="F22" s="4">
        <v>8000000021</v>
      </c>
      <c r="G22" s="4" t="str">
        <f t="shared" si="3"/>
        <v>PENayana Rajnikant Patel@Ganeshmeradian.live</v>
      </c>
      <c r="H22" s="4" t="e">
        <f>"AE" &amp;#REF! &amp; "@ganeshmeridian.live"</f>
        <v>#REF!</v>
      </c>
      <c r="I22" t="b">
        <v>1</v>
      </c>
      <c r="J22" t="b">
        <v>0</v>
      </c>
      <c r="K22" t="b">
        <v>1</v>
      </c>
      <c r="L22" t="b">
        <v>1</v>
      </c>
      <c r="M22" t="b">
        <v>0</v>
      </c>
      <c r="N22" t="s">
        <v>509</v>
      </c>
    </row>
    <row r="23" spans="1:14">
      <c r="A23" s="1" t="s">
        <v>299</v>
      </c>
      <c r="B23" t="str">
        <f t="shared" si="0"/>
        <v>FN_Dhaval B Patel</v>
      </c>
      <c r="C23" t="str">
        <f t="shared" si="1"/>
        <v>MN_Dhaval B Patel</v>
      </c>
      <c r="D23" t="str">
        <f t="shared" si="2"/>
        <v>LN_Dhaval B Patel</v>
      </c>
      <c r="E23" s="4">
        <v>9000000022</v>
      </c>
      <c r="F23" s="4">
        <v>8000000022</v>
      </c>
      <c r="G23" s="4" t="str">
        <f t="shared" si="3"/>
        <v>PEDhaval B Patel@Ganeshmeradian.live</v>
      </c>
      <c r="H23" s="4" t="e">
        <f>"AE" &amp;#REF! &amp; "@ganeshmeridian.live"</f>
        <v>#REF!</v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s">
        <v>509</v>
      </c>
    </row>
    <row r="24" spans="1:14">
      <c r="A24" s="1" t="s">
        <v>30</v>
      </c>
      <c r="B24" t="str">
        <f t="shared" si="0"/>
        <v>FN_Avadhoot Project Pvt Ltd</v>
      </c>
      <c r="C24" t="str">
        <f t="shared" si="1"/>
        <v>MN_Avadhoot Project Pvt Ltd</v>
      </c>
      <c r="D24" t="str">
        <f t="shared" si="2"/>
        <v>LN_Avadhoot Project Pvt Ltd</v>
      </c>
      <c r="E24" s="4">
        <v>9000000023</v>
      </c>
      <c r="F24" s="4">
        <v>8000000023</v>
      </c>
      <c r="G24" s="4" t="str">
        <f t="shared" si="3"/>
        <v>PEAvadhoot Project Pvt Ltd@Ganeshmeradian.live</v>
      </c>
      <c r="H24" s="4" t="e">
        <f>"AE" &amp;#REF! &amp; "@ganeshmeridian.live"</f>
        <v>#REF!</v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s">
        <v>509</v>
      </c>
    </row>
    <row r="25" spans="1:14">
      <c r="A25" s="1" t="s">
        <v>424</v>
      </c>
      <c r="B25" t="str">
        <f t="shared" si="0"/>
        <v>FN_Patel Lalitaben Pankajbhai</v>
      </c>
      <c r="C25" t="str">
        <f t="shared" si="1"/>
        <v>MN_Patel Lalitaben Pankajbhai</v>
      </c>
      <c r="D25" t="str">
        <f t="shared" si="2"/>
        <v>LN_Patel Lalitaben Pankajbhai</v>
      </c>
      <c r="E25" s="4">
        <v>9000000024</v>
      </c>
      <c r="F25" s="4">
        <v>8000000024</v>
      </c>
      <c r="G25" s="4" t="str">
        <f t="shared" si="3"/>
        <v>PEPatel Lalitaben Pankajbhai@Ganeshmeradian.live</v>
      </c>
      <c r="H25" s="4" t="e">
        <f>"AE" &amp;#REF! &amp; "@ganeshmeridian.live"</f>
        <v>#REF!</v>
      </c>
      <c r="I25" t="b">
        <v>1</v>
      </c>
      <c r="J25" t="b">
        <v>0</v>
      </c>
      <c r="K25" t="b">
        <v>1</v>
      </c>
      <c r="L25" t="b">
        <v>1</v>
      </c>
      <c r="M25" t="b">
        <v>0</v>
      </c>
      <c r="N25" t="s">
        <v>509</v>
      </c>
    </row>
    <row r="26" spans="1:14">
      <c r="A26" s="1" t="s">
        <v>340</v>
      </c>
      <c r="B26" t="str">
        <f t="shared" si="0"/>
        <v>FN_Rajesh D Shah</v>
      </c>
      <c r="C26" t="str">
        <f t="shared" si="1"/>
        <v>MN_Rajesh D Shah</v>
      </c>
      <c r="D26" t="str">
        <f t="shared" si="2"/>
        <v>LN_Rajesh D Shah</v>
      </c>
      <c r="E26" s="4">
        <v>9000000025</v>
      </c>
      <c r="F26" s="4">
        <v>8000000025</v>
      </c>
      <c r="G26" s="4" t="str">
        <f t="shared" si="3"/>
        <v>PERajesh D Shah@Ganeshmeradian.live</v>
      </c>
      <c r="H26" s="4" t="e">
        <f>"AE" &amp;#REF! &amp; "@ganeshmeridian.live"</f>
        <v>#REF!</v>
      </c>
      <c r="I26" t="b">
        <v>1</v>
      </c>
      <c r="J26" t="b">
        <v>0</v>
      </c>
      <c r="K26" t="b">
        <v>1</v>
      </c>
      <c r="L26" t="b">
        <v>1</v>
      </c>
      <c r="M26" t="b">
        <v>0</v>
      </c>
      <c r="N26" t="s">
        <v>509</v>
      </c>
    </row>
    <row r="27" spans="1:14">
      <c r="A27" s="1" t="s">
        <v>121</v>
      </c>
      <c r="B27" t="str">
        <f t="shared" si="0"/>
        <v>FN_Ansi Bytecode LLP</v>
      </c>
      <c r="C27" t="str">
        <f t="shared" si="1"/>
        <v>MN_Ansi Bytecode LLP</v>
      </c>
      <c r="D27" t="str">
        <f t="shared" si="2"/>
        <v>LN_Ansi Bytecode LLP</v>
      </c>
      <c r="E27" s="4">
        <v>9000000027</v>
      </c>
      <c r="F27" s="4">
        <v>8000000027</v>
      </c>
      <c r="G27" s="4" t="str">
        <f t="shared" si="3"/>
        <v>PEAnsi Bytecode LLP@Ganeshmeradian.live</v>
      </c>
      <c r="H27" s="4" t="e">
        <f>"AE" &amp;#REF! &amp; "@ganeshmeridian.live"</f>
        <v>#REF!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s">
        <v>509</v>
      </c>
    </row>
    <row r="28" spans="1:14">
      <c r="A28" s="1" t="s">
        <v>28</v>
      </c>
      <c r="B28" t="str">
        <f t="shared" si="0"/>
        <v>FN_Kapilaben Shakarabhai Patel</v>
      </c>
      <c r="C28" t="str">
        <f t="shared" si="1"/>
        <v>MN_Kapilaben Shakarabhai Patel</v>
      </c>
      <c r="D28" t="str">
        <f t="shared" si="2"/>
        <v>LN_Kapilaben Shakarabhai Patel</v>
      </c>
      <c r="E28" s="4">
        <v>9000000028</v>
      </c>
      <c r="F28" s="4">
        <v>8000000028</v>
      </c>
      <c r="G28" s="4" t="str">
        <f t="shared" si="3"/>
        <v>PEKapilaben Shakarabhai Patel@Ganeshmeradian.live</v>
      </c>
      <c r="H28" s="4" t="e">
        <f>"AE" &amp;#REF! &amp; "@ganeshmeridian.live"</f>
        <v>#REF!</v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s">
        <v>509</v>
      </c>
    </row>
    <row r="29" spans="1:14">
      <c r="A29" s="1" t="s">
        <v>119</v>
      </c>
      <c r="B29" t="str">
        <f t="shared" si="0"/>
        <v>FN_Avisha Technologies</v>
      </c>
      <c r="C29" t="str">
        <f t="shared" si="1"/>
        <v>MN_Avisha Technologies</v>
      </c>
      <c r="D29" t="str">
        <f t="shared" si="2"/>
        <v>LN_Avisha Technologies</v>
      </c>
      <c r="E29" s="4">
        <v>9000000029</v>
      </c>
      <c r="F29" s="4">
        <v>8000000029</v>
      </c>
      <c r="G29" s="4" t="str">
        <f t="shared" si="3"/>
        <v>PEAvisha Technologies@Ganeshmeradian.live</v>
      </c>
      <c r="H29" s="4" t="e">
        <f>"AE" &amp;#REF! &amp; "@ganeshmeridian.live"</f>
        <v>#REF!</v>
      </c>
      <c r="I29" t="b">
        <v>1</v>
      </c>
      <c r="J29" t="b">
        <v>0</v>
      </c>
      <c r="K29" t="b">
        <v>1</v>
      </c>
      <c r="L29" t="b">
        <v>1</v>
      </c>
      <c r="M29" t="b">
        <v>0</v>
      </c>
      <c r="N29" t="s">
        <v>509</v>
      </c>
    </row>
    <row r="30" spans="1:14">
      <c r="A30" s="1" t="s">
        <v>181</v>
      </c>
      <c r="B30" t="str">
        <f t="shared" si="0"/>
        <v>FN_Rajendra R Shukla</v>
      </c>
      <c r="C30" t="str">
        <f t="shared" si="1"/>
        <v>MN_Rajendra R Shukla</v>
      </c>
      <c r="D30" t="str">
        <f t="shared" si="2"/>
        <v>LN_Rajendra R Shukla</v>
      </c>
      <c r="E30" s="4">
        <v>9000000030</v>
      </c>
      <c r="F30" s="4">
        <v>8000000030</v>
      </c>
      <c r="G30" s="4" t="str">
        <f t="shared" si="3"/>
        <v>PERajendra R Shukla@Ganeshmeradian.live</v>
      </c>
      <c r="H30" s="4" t="e">
        <f>"AE" &amp;#REF! &amp; "@ganeshmeridian.live"</f>
        <v>#REF!</v>
      </c>
      <c r="I30" t="b">
        <v>1</v>
      </c>
      <c r="J30" t="b">
        <v>0</v>
      </c>
      <c r="K30" t="b">
        <v>1</v>
      </c>
      <c r="L30" t="b">
        <v>1</v>
      </c>
      <c r="M30" t="b">
        <v>0</v>
      </c>
      <c r="N30" t="s">
        <v>509</v>
      </c>
    </row>
    <row r="31" spans="1:14">
      <c r="A31" s="1" t="s">
        <v>26</v>
      </c>
      <c r="B31" t="str">
        <f t="shared" si="0"/>
        <v>FN_Laxmiben Shantilal Shah</v>
      </c>
      <c r="C31" t="str">
        <f t="shared" si="1"/>
        <v>MN_Laxmiben Shantilal Shah</v>
      </c>
      <c r="D31" t="str">
        <f t="shared" si="2"/>
        <v>LN_Laxmiben Shantilal Shah</v>
      </c>
      <c r="E31" s="4">
        <v>9000000031</v>
      </c>
      <c r="F31" s="4">
        <v>8000000031</v>
      </c>
      <c r="G31" s="4" t="str">
        <f t="shared" si="3"/>
        <v>PELaxmiben Shantilal Shah@Ganeshmeradian.live</v>
      </c>
      <c r="H31" s="4" t="e">
        <f>"AE" &amp;#REF! &amp; "@ganeshmeridian.live"</f>
        <v>#REF!</v>
      </c>
      <c r="I31" t="b">
        <v>1</v>
      </c>
      <c r="J31" t="b">
        <v>0</v>
      </c>
      <c r="K31" t="b">
        <v>1</v>
      </c>
      <c r="L31" t="b">
        <v>1</v>
      </c>
      <c r="M31" t="b">
        <v>0</v>
      </c>
      <c r="N31" t="s">
        <v>509</v>
      </c>
    </row>
    <row r="32" spans="1:14">
      <c r="A32" s="1" t="s">
        <v>135</v>
      </c>
      <c r="B32" t="str">
        <f t="shared" si="0"/>
        <v xml:space="preserve">FN_Mr. Ravjibhai Nagarbhai patel </v>
      </c>
      <c r="C32" t="str">
        <f t="shared" si="1"/>
        <v xml:space="preserve">MN_Mr. Ravjibhai Nagarbhai patel </v>
      </c>
      <c r="D32" t="str">
        <f t="shared" si="2"/>
        <v xml:space="preserve">LN_Mr. Ravjibhai Nagarbhai patel </v>
      </c>
      <c r="E32" s="4">
        <v>9000000032</v>
      </c>
      <c r="F32" s="4">
        <v>8000000032</v>
      </c>
      <c r="G32" s="4" t="str">
        <f t="shared" si="3"/>
        <v>PEMr. Ravjibhai Nagarbhai patel @Ganeshmeradian.live</v>
      </c>
      <c r="H32" s="4" t="e">
        <f>"AE" &amp;#REF! &amp; "@ganeshmeridian.live"</f>
        <v>#REF!</v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s">
        <v>509</v>
      </c>
    </row>
    <row r="33" spans="1:14">
      <c r="A33" s="1" t="s">
        <v>193</v>
      </c>
      <c r="B33" t="str">
        <f t="shared" si="0"/>
        <v>FN_Balark Chemicals</v>
      </c>
      <c r="C33" t="str">
        <f t="shared" si="1"/>
        <v>MN_Balark Chemicals</v>
      </c>
      <c r="D33" t="str">
        <f t="shared" si="2"/>
        <v>LN_Balark Chemicals</v>
      </c>
      <c r="E33" s="4">
        <v>9000000033</v>
      </c>
      <c r="F33" s="4">
        <v>8000000033</v>
      </c>
      <c r="G33" s="4" t="str">
        <f t="shared" si="3"/>
        <v>PEBalark Chemicals@Ganeshmeradian.live</v>
      </c>
      <c r="H33" s="4" t="e">
        <f>"AE" &amp;#REF! &amp; "@ganeshmeridian.live"</f>
        <v>#REF!</v>
      </c>
      <c r="I33" t="b">
        <v>1</v>
      </c>
      <c r="J33" t="b">
        <v>0</v>
      </c>
      <c r="K33" t="b">
        <v>1</v>
      </c>
      <c r="L33" t="b">
        <v>1</v>
      </c>
      <c r="M33" t="b">
        <v>0</v>
      </c>
      <c r="N33" t="s">
        <v>509</v>
      </c>
    </row>
    <row r="34" spans="1:14">
      <c r="A34" s="1" t="s">
        <v>358</v>
      </c>
      <c r="B34" t="str">
        <f t="shared" ref="B34:B65" si="4">"FN_"&amp;A34</f>
        <v>FN_Moon Technolabs</v>
      </c>
      <c r="C34" t="str">
        <f t="shared" ref="C34:C65" si="5">"MN_"&amp;A34</f>
        <v>MN_Moon Technolabs</v>
      </c>
      <c r="D34" t="str">
        <f t="shared" ref="D34:D65" si="6">"LN_"&amp;A34</f>
        <v>LN_Moon Technolabs</v>
      </c>
      <c r="E34" s="4">
        <v>9000000034</v>
      </c>
      <c r="F34" s="4">
        <v>8000000034</v>
      </c>
      <c r="G34" s="4" t="str">
        <f t="shared" ref="G34:G65" si="7">"PE"&amp;A34&amp;"@Ganeshmeradian.live"</f>
        <v>PEMoon Technolabs@Ganeshmeradian.live</v>
      </c>
      <c r="H34" s="4" t="e">
        <f>"AE" &amp;#REF! &amp; "@ganeshmeridian.live"</f>
        <v>#REF!</v>
      </c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s">
        <v>509</v>
      </c>
    </row>
    <row r="35" spans="1:14">
      <c r="A35" s="1" t="s">
        <v>327</v>
      </c>
      <c r="B35" t="str">
        <f t="shared" si="4"/>
        <v xml:space="preserve">FN_Mukeshbhai K Patel </v>
      </c>
      <c r="C35" t="str">
        <f t="shared" si="5"/>
        <v xml:space="preserve">MN_Mukeshbhai K Patel </v>
      </c>
      <c r="D35" t="str">
        <f t="shared" si="6"/>
        <v xml:space="preserve">LN_Mukeshbhai K Patel </v>
      </c>
      <c r="E35" s="4">
        <v>9000000035</v>
      </c>
      <c r="F35" s="4">
        <v>8000000035</v>
      </c>
      <c r="G35" s="4" t="str">
        <f t="shared" si="7"/>
        <v>PEMukeshbhai K Patel @Ganeshmeradian.live</v>
      </c>
      <c r="H35" s="4" t="e">
        <f>"AE" &amp;#REF! &amp; "@ganeshmeridian.live"</f>
        <v>#REF!</v>
      </c>
      <c r="I35" t="b">
        <v>1</v>
      </c>
      <c r="J35" t="b">
        <v>0</v>
      </c>
      <c r="K35" t="b">
        <v>1</v>
      </c>
      <c r="L35" t="b">
        <v>1</v>
      </c>
      <c r="M35" t="b">
        <v>0</v>
      </c>
      <c r="N35" t="s">
        <v>509</v>
      </c>
    </row>
    <row r="36" spans="1:14">
      <c r="A36" s="1" t="s">
        <v>34</v>
      </c>
      <c r="B36" t="str">
        <f t="shared" si="4"/>
        <v>FN_Vishwas Cafeteria</v>
      </c>
      <c r="C36" t="str">
        <f t="shared" si="5"/>
        <v>MN_Vishwas Cafeteria</v>
      </c>
      <c r="D36" t="str">
        <f t="shared" si="6"/>
        <v>LN_Vishwas Cafeteria</v>
      </c>
      <c r="E36" s="4">
        <v>9000000037</v>
      </c>
      <c r="F36" s="4">
        <v>8000000037</v>
      </c>
      <c r="G36" s="4" t="str">
        <f t="shared" si="7"/>
        <v>PEVishwas Cafeteria@Ganeshmeradian.live</v>
      </c>
      <c r="H36" s="4" t="e">
        <f>"AE" &amp;#REF! &amp; "@ganeshmeridian.live"</f>
        <v>#REF!</v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s">
        <v>509</v>
      </c>
    </row>
    <row r="37" spans="1:14">
      <c r="A37" s="1" t="s">
        <v>6</v>
      </c>
      <c r="B37" t="str">
        <f t="shared" si="4"/>
        <v>FN_Shree Siddhi Infrabuild Pvt Ltd</v>
      </c>
      <c r="C37" t="str">
        <f t="shared" si="5"/>
        <v>MN_Shree Siddhi Infrabuild Pvt Ltd</v>
      </c>
      <c r="D37" t="str">
        <f t="shared" si="6"/>
        <v>LN_Shree Siddhi Infrabuild Pvt Ltd</v>
      </c>
      <c r="E37" s="4">
        <v>9000000040</v>
      </c>
      <c r="F37" s="4">
        <v>8000000040</v>
      </c>
      <c r="G37" s="4" t="str">
        <f t="shared" si="7"/>
        <v>PEShree Siddhi Infrabuild Pvt Ltd@Ganeshmeradian.live</v>
      </c>
      <c r="H37" s="4" t="e">
        <f>"AE" &amp;#REF! &amp; "@ganeshmeridian.live"</f>
        <v>#REF!</v>
      </c>
      <c r="I37" t="b">
        <v>1</v>
      </c>
      <c r="J37" t="b">
        <v>0</v>
      </c>
      <c r="K37" t="b">
        <v>1</v>
      </c>
      <c r="L37" t="b">
        <v>1</v>
      </c>
      <c r="M37" t="b">
        <v>0</v>
      </c>
      <c r="N37" t="s">
        <v>509</v>
      </c>
    </row>
    <row r="38" spans="1:14">
      <c r="A38" s="1" t="s">
        <v>217</v>
      </c>
      <c r="B38" t="str">
        <f t="shared" si="4"/>
        <v>FN_Manj &amp; Associates</v>
      </c>
      <c r="C38" t="str">
        <f t="shared" si="5"/>
        <v>MN_Manj &amp; Associates</v>
      </c>
      <c r="D38" t="str">
        <f t="shared" si="6"/>
        <v>LN_Manj &amp; Associates</v>
      </c>
      <c r="E38" s="4">
        <v>9000000041</v>
      </c>
      <c r="F38" s="4">
        <v>8000000041</v>
      </c>
      <c r="G38" s="4" t="str">
        <f t="shared" si="7"/>
        <v>PEManj &amp; Associates@Ganeshmeradian.live</v>
      </c>
      <c r="H38" s="4" t="e">
        <f>"AE" &amp;#REF! &amp; "@ganeshmeridian.live"</f>
        <v>#REF!</v>
      </c>
      <c r="I38" t="b">
        <v>1</v>
      </c>
      <c r="J38" t="b">
        <v>0</v>
      </c>
      <c r="K38" t="b">
        <v>1</v>
      </c>
      <c r="L38" t="b">
        <v>1</v>
      </c>
      <c r="M38" t="b">
        <v>0</v>
      </c>
      <c r="N38" t="s">
        <v>509</v>
      </c>
    </row>
    <row r="39" spans="1:14">
      <c r="A39" s="1" t="s">
        <v>42</v>
      </c>
      <c r="B39" t="str">
        <f t="shared" si="4"/>
        <v>FN_Samir B Dalal</v>
      </c>
      <c r="C39" t="str">
        <f t="shared" si="5"/>
        <v>MN_Samir B Dalal</v>
      </c>
      <c r="D39" t="str">
        <f t="shared" si="6"/>
        <v>LN_Samir B Dalal</v>
      </c>
      <c r="E39" s="4">
        <v>9000000042</v>
      </c>
      <c r="F39" s="4">
        <v>8000000042</v>
      </c>
      <c r="G39" s="4" t="str">
        <f t="shared" si="7"/>
        <v>PESamir B Dalal@Ganeshmeradian.live</v>
      </c>
      <c r="H39" s="4" t="e">
        <f>"AE" &amp;#REF! &amp; "@ganeshmeridian.live"</f>
        <v>#REF!</v>
      </c>
      <c r="I39" t="b">
        <v>1</v>
      </c>
      <c r="J39" t="b">
        <v>0</v>
      </c>
      <c r="K39" t="b">
        <v>1</v>
      </c>
      <c r="L39" t="b">
        <v>1</v>
      </c>
      <c r="M39" t="b">
        <v>0</v>
      </c>
      <c r="N39" t="s">
        <v>509</v>
      </c>
    </row>
    <row r="40" spans="1:14">
      <c r="A40" s="1" t="s">
        <v>297</v>
      </c>
      <c r="B40" t="str">
        <f t="shared" si="4"/>
        <v>FN_Harnil Oza</v>
      </c>
      <c r="C40" t="str">
        <f t="shared" si="5"/>
        <v>MN_Harnil Oza</v>
      </c>
      <c r="D40" t="str">
        <f t="shared" si="6"/>
        <v>LN_Harnil Oza</v>
      </c>
      <c r="E40" s="4">
        <v>9000000043</v>
      </c>
      <c r="F40" s="4">
        <v>8000000043</v>
      </c>
      <c r="G40" s="4" t="str">
        <f t="shared" si="7"/>
        <v>PEHarnil Oza@Ganeshmeradian.live</v>
      </c>
      <c r="H40" s="4" t="e">
        <f>"AE" &amp;#REF! &amp; "@ganeshmeridian.live"</f>
        <v>#REF!</v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s">
        <v>509</v>
      </c>
    </row>
    <row r="41" spans="1:14">
      <c r="A41" s="1" t="s">
        <v>281</v>
      </c>
      <c r="B41" t="str">
        <f t="shared" si="4"/>
        <v>FN_Manjula M Jaiswal</v>
      </c>
      <c r="C41" t="str">
        <f t="shared" si="5"/>
        <v>MN_Manjula M Jaiswal</v>
      </c>
      <c r="D41" t="str">
        <f t="shared" si="6"/>
        <v>LN_Manjula M Jaiswal</v>
      </c>
      <c r="E41" s="4">
        <v>9000000044</v>
      </c>
      <c r="F41" s="4">
        <v>8000000044</v>
      </c>
      <c r="G41" s="4" t="str">
        <f t="shared" si="7"/>
        <v>PEManjula M Jaiswal@Ganeshmeradian.live</v>
      </c>
      <c r="H41" s="4" t="e">
        <f>"AE" &amp;#REF! &amp; "@ganeshmeridian.live"</f>
        <v>#REF!</v>
      </c>
      <c r="I41" t="b">
        <v>1</v>
      </c>
      <c r="J41" t="b">
        <v>0</v>
      </c>
      <c r="K41" t="b">
        <v>1</v>
      </c>
      <c r="L41" t="b">
        <v>1</v>
      </c>
      <c r="M41" t="b">
        <v>0</v>
      </c>
      <c r="N41" t="s">
        <v>509</v>
      </c>
    </row>
    <row r="42" spans="1:14">
      <c r="A42" s="1" t="s">
        <v>410</v>
      </c>
      <c r="B42" t="str">
        <f t="shared" si="4"/>
        <v>FN_Gujarat Apollo Industries Ltd</v>
      </c>
      <c r="C42" t="str">
        <f t="shared" si="5"/>
        <v>MN_Gujarat Apollo Industries Ltd</v>
      </c>
      <c r="D42" t="str">
        <f t="shared" si="6"/>
        <v>LN_Gujarat Apollo Industries Ltd</v>
      </c>
      <c r="E42" s="4">
        <v>9000000045</v>
      </c>
      <c r="F42" s="4">
        <v>8000000045</v>
      </c>
      <c r="G42" s="4" t="str">
        <f t="shared" si="7"/>
        <v>PEGujarat Apollo Industries Ltd@Ganeshmeradian.live</v>
      </c>
      <c r="H42" s="4" t="e">
        <f>"AE" &amp;#REF! &amp; "@ganeshmeridian.live"</f>
        <v>#REF!</v>
      </c>
      <c r="I42" t="b">
        <v>1</v>
      </c>
      <c r="J42" t="b">
        <v>0</v>
      </c>
      <c r="K42" t="b">
        <v>1</v>
      </c>
      <c r="L42" t="b">
        <v>1</v>
      </c>
      <c r="M42" t="b">
        <v>0</v>
      </c>
      <c r="N42" t="s">
        <v>509</v>
      </c>
    </row>
    <row r="43" spans="1:14">
      <c r="A43" s="1" t="s">
        <v>152</v>
      </c>
      <c r="B43" t="str">
        <f t="shared" si="4"/>
        <v>FN_Kishor P Sompura</v>
      </c>
      <c r="C43" t="str">
        <f t="shared" si="5"/>
        <v>MN_Kishor P Sompura</v>
      </c>
      <c r="D43" t="str">
        <f t="shared" si="6"/>
        <v>LN_Kishor P Sompura</v>
      </c>
      <c r="E43" s="4">
        <v>9000000046</v>
      </c>
      <c r="F43" s="4">
        <v>8000000046</v>
      </c>
      <c r="G43" s="4" t="str">
        <f t="shared" si="7"/>
        <v>PEKishor P Sompura@Ganeshmeradian.live</v>
      </c>
      <c r="H43" s="4" t="e">
        <f>"AE" &amp;#REF! &amp; "@ganeshmeridian.live"</f>
        <v>#REF!</v>
      </c>
      <c r="I43" t="b">
        <v>1</v>
      </c>
      <c r="J43" t="b">
        <v>0</v>
      </c>
      <c r="K43" t="b">
        <v>1</v>
      </c>
      <c r="L43" t="b">
        <v>1</v>
      </c>
      <c r="M43" t="b">
        <v>0</v>
      </c>
      <c r="N43" t="s">
        <v>509</v>
      </c>
    </row>
    <row r="44" spans="1:14">
      <c r="A44" s="1" t="s">
        <v>346</v>
      </c>
      <c r="B44" t="str">
        <f t="shared" si="4"/>
        <v>FN_Maheshwari Sales Corp</v>
      </c>
      <c r="C44" t="str">
        <f t="shared" si="5"/>
        <v>MN_Maheshwari Sales Corp</v>
      </c>
      <c r="D44" t="str">
        <f t="shared" si="6"/>
        <v>LN_Maheshwari Sales Corp</v>
      </c>
      <c r="E44" s="4">
        <v>9000000047</v>
      </c>
      <c r="F44" s="4">
        <v>8000000047</v>
      </c>
      <c r="G44" s="4" t="str">
        <f t="shared" si="7"/>
        <v>PEMaheshwari Sales Corp@Ganeshmeradian.live</v>
      </c>
      <c r="H44" s="4" t="e">
        <f>"AE" &amp;#REF! &amp; "@ganeshmeridian.live"</f>
        <v>#REF!</v>
      </c>
      <c r="I44" t="b">
        <v>1</v>
      </c>
      <c r="J44" t="b">
        <v>0</v>
      </c>
      <c r="K44" t="b">
        <v>1</v>
      </c>
      <c r="L44" t="b">
        <v>1</v>
      </c>
      <c r="M44" t="b">
        <v>0</v>
      </c>
      <c r="N44" t="s">
        <v>509</v>
      </c>
    </row>
    <row r="45" spans="1:14">
      <c r="A45" s="1" t="s">
        <v>171</v>
      </c>
      <c r="B45" t="str">
        <f t="shared" si="4"/>
        <v>FN_Palval Hair Transplant Clinic</v>
      </c>
      <c r="C45" t="str">
        <f t="shared" si="5"/>
        <v>MN_Palval Hair Transplant Clinic</v>
      </c>
      <c r="D45" t="str">
        <f t="shared" si="6"/>
        <v>LN_Palval Hair Transplant Clinic</v>
      </c>
      <c r="E45" s="4">
        <v>9000000048</v>
      </c>
      <c r="F45" s="4">
        <v>8000000048</v>
      </c>
      <c r="G45" s="4" t="str">
        <f t="shared" si="7"/>
        <v>PEPalval Hair Transplant Clinic@Ganeshmeradian.live</v>
      </c>
      <c r="H45" s="4" t="e">
        <f>"AE" &amp;#REF! &amp; "@ganeshmeridian.live"</f>
        <v>#REF!</v>
      </c>
      <c r="I45" t="b">
        <v>1</v>
      </c>
      <c r="J45" t="b">
        <v>0</v>
      </c>
      <c r="K45" t="b">
        <v>1</v>
      </c>
      <c r="L45" t="b">
        <v>1</v>
      </c>
      <c r="M45" t="b">
        <v>0</v>
      </c>
      <c r="N45" t="s">
        <v>509</v>
      </c>
    </row>
    <row r="46" spans="1:14">
      <c r="A46" s="1" t="s">
        <v>12</v>
      </c>
      <c r="B46" t="str">
        <f t="shared" si="4"/>
        <v>FN_Akik Tiles Ltd.</v>
      </c>
      <c r="C46" t="str">
        <f t="shared" si="5"/>
        <v>MN_Akik Tiles Ltd.</v>
      </c>
      <c r="D46" t="str">
        <f t="shared" si="6"/>
        <v>LN_Akik Tiles Ltd.</v>
      </c>
      <c r="E46" s="4">
        <v>9000000050</v>
      </c>
      <c r="F46" s="4">
        <v>8000000050</v>
      </c>
      <c r="G46" s="4" t="str">
        <f t="shared" si="7"/>
        <v>PEAkik Tiles Ltd.@Ganeshmeradian.live</v>
      </c>
      <c r="H46" s="4" t="e">
        <f>"AE" &amp;#REF! &amp; "@ganeshmeridian.live"</f>
        <v>#REF!</v>
      </c>
      <c r="I46" t="b">
        <v>1</v>
      </c>
      <c r="J46" t="b">
        <v>0</v>
      </c>
      <c r="K46" t="b">
        <v>1</v>
      </c>
      <c r="L46" t="b">
        <v>1</v>
      </c>
      <c r="M46" t="b">
        <v>0</v>
      </c>
      <c r="N46" t="s">
        <v>509</v>
      </c>
    </row>
    <row r="47" spans="1:14">
      <c r="A47" s="1" t="s">
        <v>319</v>
      </c>
      <c r="B47" t="str">
        <f t="shared" si="4"/>
        <v>FN_Harnil Bhargav Oza</v>
      </c>
      <c r="C47" t="str">
        <f t="shared" si="5"/>
        <v>MN_Harnil Bhargav Oza</v>
      </c>
      <c r="D47" t="str">
        <f t="shared" si="6"/>
        <v>LN_Harnil Bhargav Oza</v>
      </c>
      <c r="E47" s="4">
        <v>9000000052</v>
      </c>
      <c r="F47" s="4">
        <v>8000000052</v>
      </c>
      <c r="G47" s="4" t="str">
        <f t="shared" si="7"/>
        <v>PEHarnil Bhargav Oza@Ganeshmeradian.live</v>
      </c>
      <c r="H47" s="4" t="e">
        <f>"AE" &amp;#REF! &amp; "@ganeshmeridian.live"</f>
        <v>#REF!</v>
      </c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s">
        <v>509</v>
      </c>
    </row>
    <row r="48" spans="1:14">
      <c r="A48" s="1" t="s">
        <v>211</v>
      </c>
      <c r="B48" t="str">
        <f t="shared" si="4"/>
        <v>FN_Solderma Pharma</v>
      </c>
      <c r="C48" t="str">
        <f t="shared" si="5"/>
        <v>MN_Solderma Pharma</v>
      </c>
      <c r="D48" t="str">
        <f t="shared" si="6"/>
        <v>LN_Solderma Pharma</v>
      </c>
      <c r="E48" s="4">
        <v>9000000053</v>
      </c>
      <c r="F48" s="4">
        <v>8000000053</v>
      </c>
      <c r="G48" s="4" t="str">
        <f t="shared" si="7"/>
        <v>PESolderma Pharma@Ganeshmeradian.live</v>
      </c>
      <c r="H48" s="4" t="e">
        <f>"AE" &amp;#REF! &amp; "@ganeshmeridian.live"</f>
        <v>#REF!</v>
      </c>
      <c r="I48" t="b">
        <v>1</v>
      </c>
      <c r="J48" t="b">
        <v>0</v>
      </c>
      <c r="K48" t="b">
        <v>1</v>
      </c>
      <c r="L48" t="b">
        <v>1</v>
      </c>
      <c r="M48" t="b">
        <v>0</v>
      </c>
      <c r="N48" t="s">
        <v>509</v>
      </c>
    </row>
    <row r="49" spans="1:14">
      <c r="A49" s="1" t="s">
        <v>185</v>
      </c>
      <c r="B49" t="str">
        <f t="shared" si="4"/>
        <v>FN_Bharat Pesticides Industries Pv</v>
      </c>
      <c r="C49" t="str">
        <f t="shared" si="5"/>
        <v>MN_Bharat Pesticides Industries Pv</v>
      </c>
      <c r="D49" t="str">
        <f t="shared" si="6"/>
        <v>LN_Bharat Pesticides Industries Pv</v>
      </c>
      <c r="E49" s="4">
        <v>9000000054</v>
      </c>
      <c r="F49" s="4">
        <v>8000000054</v>
      </c>
      <c r="G49" s="4" t="str">
        <f t="shared" si="7"/>
        <v>PEBharat Pesticides Industries Pv@Ganeshmeradian.live</v>
      </c>
      <c r="H49" s="4" t="e">
        <f>"AE" &amp;#REF! &amp; "@ganeshmeridian.live"</f>
        <v>#REF!</v>
      </c>
      <c r="I49" t="b">
        <v>1</v>
      </c>
      <c r="J49" t="b">
        <v>0</v>
      </c>
      <c r="K49" t="b">
        <v>1</v>
      </c>
      <c r="L49" t="b">
        <v>1</v>
      </c>
      <c r="M49" t="b">
        <v>0</v>
      </c>
      <c r="N49" t="s">
        <v>509</v>
      </c>
    </row>
    <row r="50" spans="1:14">
      <c r="A50" s="1" t="s">
        <v>444</v>
      </c>
      <c r="B50" t="str">
        <f t="shared" si="4"/>
        <v>FN_Letsnurture Infotech Pvt Ltd</v>
      </c>
      <c r="C50" t="str">
        <f t="shared" si="5"/>
        <v>MN_Letsnurture Infotech Pvt Ltd</v>
      </c>
      <c r="D50" t="str">
        <f t="shared" si="6"/>
        <v>LN_Letsnurture Infotech Pvt Ltd</v>
      </c>
      <c r="E50" s="4">
        <v>9000000055</v>
      </c>
      <c r="F50" s="4">
        <v>8000000055</v>
      </c>
      <c r="G50" s="4" t="str">
        <f t="shared" si="7"/>
        <v>PELetsnurture Infotech Pvt Ltd@Ganeshmeradian.live</v>
      </c>
      <c r="H50" s="4" t="e">
        <f>"AE" &amp;#REF! &amp; "@ganeshmeridian.live"</f>
        <v>#REF!</v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s">
        <v>509</v>
      </c>
    </row>
    <row r="51" spans="1:14">
      <c r="A51" s="1" t="s">
        <v>16</v>
      </c>
      <c r="B51" t="str">
        <f t="shared" si="4"/>
        <v>FN_Astron Paper&amp;Board Ltd</v>
      </c>
      <c r="C51" t="str">
        <f t="shared" si="5"/>
        <v>MN_Astron Paper&amp;Board Ltd</v>
      </c>
      <c r="D51" t="str">
        <f t="shared" si="6"/>
        <v>LN_Astron Paper&amp;Board Ltd</v>
      </c>
      <c r="E51" s="4">
        <v>9000000056</v>
      </c>
      <c r="F51" s="4">
        <v>8000000056</v>
      </c>
      <c r="G51" s="4" t="str">
        <f t="shared" si="7"/>
        <v>PEAstron Paper&amp;Board Ltd@Ganeshmeradian.live</v>
      </c>
      <c r="H51" s="4" t="e">
        <f>"AE" &amp;#REF! &amp; "@ganeshmeridian.live"</f>
        <v>#REF!</v>
      </c>
      <c r="I51" t="b">
        <v>1</v>
      </c>
      <c r="J51" t="b">
        <v>0</v>
      </c>
      <c r="K51" t="b">
        <v>1</v>
      </c>
      <c r="L51" t="b">
        <v>1</v>
      </c>
      <c r="M51" t="b">
        <v>0</v>
      </c>
      <c r="N51" t="s">
        <v>509</v>
      </c>
    </row>
    <row r="52" spans="1:14">
      <c r="A52" s="1" t="s">
        <v>201</v>
      </c>
      <c r="B52" t="str">
        <f t="shared" si="4"/>
        <v>FN_Mukeshbhai Panchal</v>
      </c>
      <c r="C52" t="str">
        <f t="shared" si="5"/>
        <v>MN_Mukeshbhai Panchal</v>
      </c>
      <c r="D52" t="str">
        <f t="shared" si="6"/>
        <v>LN_Mukeshbhai Panchal</v>
      </c>
      <c r="E52" s="4">
        <v>9000000057</v>
      </c>
      <c r="F52" s="4">
        <v>8000000057</v>
      </c>
      <c r="G52" s="4" t="str">
        <f t="shared" si="7"/>
        <v>PEMukeshbhai Panchal@Ganeshmeradian.live</v>
      </c>
      <c r="H52" s="4" t="e">
        <f>"AE" &amp;#REF! &amp; "@ganeshmeridian.live"</f>
        <v>#REF!</v>
      </c>
      <c r="I52" t="b">
        <v>1</v>
      </c>
      <c r="J52" t="b">
        <v>0</v>
      </c>
      <c r="K52" t="b">
        <v>1</v>
      </c>
      <c r="L52" t="b">
        <v>1</v>
      </c>
      <c r="M52" t="b">
        <v>0</v>
      </c>
      <c r="N52" t="s">
        <v>509</v>
      </c>
    </row>
    <row r="53" spans="1:14">
      <c r="A53" s="1" t="s">
        <v>428</v>
      </c>
      <c r="B53" t="str">
        <f t="shared" si="4"/>
        <v>FN_Daksaben Sureshbhai Prajapati</v>
      </c>
      <c r="C53" t="str">
        <f t="shared" si="5"/>
        <v>MN_Daksaben Sureshbhai Prajapati</v>
      </c>
      <c r="D53" t="str">
        <f t="shared" si="6"/>
        <v>LN_Daksaben Sureshbhai Prajapati</v>
      </c>
      <c r="E53" s="4">
        <v>9000000058</v>
      </c>
      <c r="F53" s="4">
        <v>8000000058</v>
      </c>
      <c r="G53" s="4" t="str">
        <f t="shared" si="7"/>
        <v>PEDaksaben Sureshbhai Prajapati@Ganeshmeradian.live</v>
      </c>
      <c r="H53" s="4" t="e">
        <f>"AE" &amp;#REF! &amp; "@ganeshmeridian.live"</f>
        <v>#REF!</v>
      </c>
      <c r="I53" t="b">
        <v>1</v>
      </c>
      <c r="J53" t="b">
        <v>0</v>
      </c>
      <c r="K53" t="b">
        <v>1</v>
      </c>
      <c r="L53" t="b">
        <v>1</v>
      </c>
      <c r="M53" t="b">
        <v>0</v>
      </c>
      <c r="N53" t="s">
        <v>509</v>
      </c>
    </row>
    <row r="54" spans="1:14">
      <c r="A54" s="1" t="s">
        <v>448</v>
      </c>
      <c r="B54" t="str">
        <f t="shared" si="4"/>
        <v xml:space="preserve">FN_Gauravkumar D Patel </v>
      </c>
      <c r="C54" t="str">
        <f t="shared" si="5"/>
        <v xml:space="preserve">MN_Gauravkumar D Patel </v>
      </c>
      <c r="D54" t="str">
        <f t="shared" si="6"/>
        <v xml:space="preserve">LN_Gauravkumar D Patel </v>
      </c>
      <c r="E54" s="4">
        <v>9000000059</v>
      </c>
      <c r="F54" s="4">
        <v>8000000059</v>
      </c>
      <c r="G54" s="4" t="str">
        <f t="shared" si="7"/>
        <v>PEGauravkumar D Patel @Ganeshmeradian.live</v>
      </c>
      <c r="H54" s="4" t="e">
        <f>"AE" &amp;#REF! &amp; "@ganeshmeridian.live"</f>
        <v>#REF!</v>
      </c>
      <c r="I54" t="b">
        <v>1</v>
      </c>
      <c r="J54" t="b">
        <v>0</v>
      </c>
      <c r="K54" t="b">
        <v>1</v>
      </c>
      <c r="L54" t="b">
        <v>1</v>
      </c>
      <c r="M54" t="b">
        <v>0</v>
      </c>
      <c r="N54" t="s">
        <v>509</v>
      </c>
    </row>
    <row r="55" spans="1:14">
      <c r="A55" s="1" t="s">
        <v>158</v>
      </c>
      <c r="B55" t="str">
        <f t="shared" si="4"/>
        <v>FN_Niral Rashmikant Mehta</v>
      </c>
      <c r="C55" t="str">
        <f t="shared" si="5"/>
        <v>MN_Niral Rashmikant Mehta</v>
      </c>
      <c r="D55" t="str">
        <f t="shared" si="6"/>
        <v>LN_Niral Rashmikant Mehta</v>
      </c>
      <c r="E55" s="4">
        <v>9000000060</v>
      </c>
      <c r="F55" s="4">
        <v>8000000060</v>
      </c>
      <c r="G55" s="4" t="str">
        <f t="shared" si="7"/>
        <v>PENiral Rashmikant Mehta@Ganeshmeradian.live</v>
      </c>
      <c r="H55" s="4" t="e">
        <f>"AE" &amp;#REF! &amp; "@ganeshmeridian.live"</f>
        <v>#REF!</v>
      </c>
      <c r="I55" t="b">
        <v>1</v>
      </c>
      <c r="J55" t="b">
        <v>0</v>
      </c>
      <c r="K55" t="b">
        <v>1</v>
      </c>
      <c r="L55" t="b">
        <v>1</v>
      </c>
      <c r="M55" t="b">
        <v>0</v>
      </c>
      <c r="N55" t="s">
        <v>509</v>
      </c>
    </row>
    <row r="56" spans="1:14">
      <c r="A56" s="1" t="s">
        <v>273</v>
      </c>
      <c r="B56" t="str">
        <f t="shared" si="4"/>
        <v>FN_Shreemali Daxaben Maheshbhai</v>
      </c>
      <c r="C56" t="str">
        <f t="shared" si="5"/>
        <v>MN_Shreemali Daxaben Maheshbhai</v>
      </c>
      <c r="D56" t="str">
        <f t="shared" si="6"/>
        <v>LN_Shreemali Daxaben Maheshbhai</v>
      </c>
      <c r="E56" s="4">
        <v>9000000062</v>
      </c>
      <c r="F56" s="4">
        <v>8000000062</v>
      </c>
      <c r="G56" s="4" t="str">
        <f t="shared" si="7"/>
        <v>PEShreemali Daxaben Maheshbhai@Ganeshmeradian.live</v>
      </c>
      <c r="H56" s="4" t="e">
        <f>"AE" &amp;#REF! &amp; "@ganeshmeridian.live"</f>
        <v>#REF!</v>
      </c>
      <c r="I56" t="b">
        <v>1</v>
      </c>
      <c r="J56" t="b">
        <v>0</v>
      </c>
      <c r="K56" t="b">
        <v>1</v>
      </c>
      <c r="L56" t="b">
        <v>1</v>
      </c>
      <c r="M56" t="b">
        <v>0</v>
      </c>
      <c r="N56" t="s">
        <v>509</v>
      </c>
    </row>
    <row r="57" spans="1:14">
      <c r="A57" s="1" t="s">
        <v>242</v>
      </c>
      <c r="B57" t="str">
        <f t="shared" si="4"/>
        <v>FN_Nareshbhai Dahyabhai Patel</v>
      </c>
      <c r="C57" t="str">
        <f t="shared" si="5"/>
        <v>MN_Nareshbhai Dahyabhai Patel</v>
      </c>
      <c r="D57" t="str">
        <f t="shared" si="6"/>
        <v>LN_Nareshbhai Dahyabhai Patel</v>
      </c>
      <c r="E57" s="4">
        <v>9000000064</v>
      </c>
      <c r="F57" s="4">
        <v>8000000064</v>
      </c>
      <c r="G57" s="4" t="str">
        <f t="shared" si="7"/>
        <v>PENareshbhai Dahyabhai Patel@Ganeshmeradian.live</v>
      </c>
      <c r="H57" s="4" t="e">
        <f>"AE" &amp;#REF! &amp; "@ganeshmeridian.live"</f>
        <v>#REF!</v>
      </c>
      <c r="I57" t="b">
        <v>1</v>
      </c>
      <c r="J57" t="b">
        <v>0</v>
      </c>
      <c r="K57" t="b">
        <v>1</v>
      </c>
      <c r="L57" t="b">
        <v>1</v>
      </c>
      <c r="M57" t="b">
        <v>0</v>
      </c>
      <c r="N57" t="s">
        <v>509</v>
      </c>
    </row>
    <row r="58" spans="1:14">
      <c r="A58" s="2" t="s">
        <v>20</v>
      </c>
      <c r="B58" t="str">
        <f t="shared" si="4"/>
        <v>FN_Jitendra B Patel</v>
      </c>
      <c r="C58" t="str">
        <f t="shared" si="5"/>
        <v>MN_Jitendra B Patel</v>
      </c>
      <c r="D58" t="str">
        <f t="shared" si="6"/>
        <v>LN_Jitendra B Patel</v>
      </c>
      <c r="E58" s="4">
        <v>9000000065</v>
      </c>
      <c r="F58" s="4">
        <v>8000000065</v>
      </c>
      <c r="G58" s="4" t="str">
        <f t="shared" si="7"/>
        <v>PEJitendra B Patel@Ganeshmeradian.live</v>
      </c>
      <c r="H58" s="4" t="e">
        <f>"AE" &amp;#REF! &amp; "@ganeshmeridian.live"</f>
        <v>#REF!</v>
      </c>
      <c r="I58" t="b">
        <v>1</v>
      </c>
      <c r="J58" t="b">
        <v>0</v>
      </c>
      <c r="K58" t="b">
        <v>1</v>
      </c>
      <c r="L58" t="b">
        <v>1</v>
      </c>
      <c r="M58" t="b">
        <v>0</v>
      </c>
      <c r="N58" t="s">
        <v>509</v>
      </c>
    </row>
    <row r="59" spans="1:14">
      <c r="A59" s="2" t="s">
        <v>148</v>
      </c>
      <c r="B59" t="str">
        <f t="shared" si="4"/>
        <v>FN_Nathalal Babulal Jani</v>
      </c>
      <c r="C59" t="str">
        <f t="shared" si="5"/>
        <v>MN_Nathalal Babulal Jani</v>
      </c>
      <c r="D59" t="str">
        <f t="shared" si="6"/>
        <v>LN_Nathalal Babulal Jani</v>
      </c>
      <c r="E59" s="4">
        <v>9000000066</v>
      </c>
      <c r="F59" s="4">
        <v>8000000066</v>
      </c>
      <c r="G59" s="4" t="str">
        <f t="shared" si="7"/>
        <v>PENathalal Babulal Jani@Ganeshmeradian.live</v>
      </c>
      <c r="H59" s="4" t="e">
        <f>"AE" &amp;#REF! &amp; "@ganeshmeridian.live"</f>
        <v>#REF!</v>
      </c>
      <c r="I59" t="b">
        <v>1</v>
      </c>
      <c r="J59" t="b">
        <v>0</v>
      </c>
      <c r="K59" t="b">
        <v>1</v>
      </c>
      <c r="L59" t="b">
        <v>1</v>
      </c>
      <c r="M59" t="b">
        <v>0</v>
      </c>
      <c r="N59" t="s">
        <v>509</v>
      </c>
    </row>
    <row r="60" spans="1:14">
      <c r="A60" s="1" t="s">
        <v>250</v>
      </c>
      <c r="B60" t="str">
        <f t="shared" si="4"/>
        <v>FN_Harshaben Mineshbhai Solanki</v>
      </c>
      <c r="C60" t="str">
        <f t="shared" si="5"/>
        <v>MN_Harshaben Mineshbhai Solanki</v>
      </c>
      <c r="D60" t="str">
        <f t="shared" si="6"/>
        <v>LN_Harshaben Mineshbhai Solanki</v>
      </c>
      <c r="E60" s="4">
        <v>9000000067</v>
      </c>
      <c r="F60" s="4">
        <v>8000000067</v>
      </c>
      <c r="G60" s="4" t="str">
        <f t="shared" si="7"/>
        <v>PEHarshaben Mineshbhai Solanki@Ganeshmeradian.live</v>
      </c>
      <c r="H60" s="4" t="e">
        <f>"AE" &amp;#REF! &amp; "@ganeshmeridian.live"</f>
        <v>#REF!</v>
      </c>
      <c r="I60" t="b">
        <v>1</v>
      </c>
      <c r="J60" t="b">
        <v>0</v>
      </c>
      <c r="K60" t="b">
        <v>1</v>
      </c>
      <c r="L60" t="b">
        <v>1</v>
      </c>
      <c r="M60" t="b">
        <v>0</v>
      </c>
      <c r="N60" t="s">
        <v>509</v>
      </c>
    </row>
    <row r="61" spans="1:14">
      <c r="A61" s="1" t="s">
        <v>366</v>
      </c>
      <c r="B61" t="str">
        <f t="shared" si="4"/>
        <v>FN_Shweta Suha</v>
      </c>
      <c r="C61" t="str">
        <f t="shared" si="5"/>
        <v>MN_Shweta Suha</v>
      </c>
      <c r="D61" t="str">
        <f t="shared" si="6"/>
        <v>LN_Shweta Suha</v>
      </c>
      <c r="E61" s="4">
        <v>9000000068</v>
      </c>
      <c r="F61" s="4">
        <v>8000000068</v>
      </c>
      <c r="G61" s="4" t="str">
        <f t="shared" si="7"/>
        <v>PEShweta Suha@Ganeshmeradian.live</v>
      </c>
      <c r="H61" s="4" t="e">
        <f>"AE" &amp;#REF! &amp; "@ganeshmeridian.live"</f>
        <v>#REF!</v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s">
        <v>509</v>
      </c>
    </row>
    <row r="62" spans="1:14">
      <c r="A62" s="1" t="s">
        <v>233</v>
      </c>
      <c r="B62" t="str">
        <f t="shared" si="4"/>
        <v xml:space="preserve">FN_Tribhovanbhai R Patel </v>
      </c>
      <c r="C62" t="str">
        <f t="shared" si="5"/>
        <v xml:space="preserve">MN_Tribhovanbhai R Patel </v>
      </c>
      <c r="D62" t="str">
        <f t="shared" si="6"/>
        <v xml:space="preserve">LN_Tribhovanbhai R Patel </v>
      </c>
      <c r="E62" s="4">
        <v>9000000069</v>
      </c>
      <c r="F62" s="4">
        <v>8000000069</v>
      </c>
      <c r="G62" s="4" t="str">
        <f t="shared" si="7"/>
        <v>PETribhovanbhai R Patel @Ganeshmeradian.live</v>
      </c>
      <c r="H62" s="4" t="e">
        <f>"AE" &amp;#REF! &amp; "@ganeshmeridian.live"</f>
        <v>#REF!</v>
      </c>
      <c r="I62" t="b">
        <v>1</v>
      </c>
      <c r="J62" t="b">
        <v>0</v>
      </c>
      <c r="K62" t="b">
        <v>1</v>
      </c>
      <c r="L62" t="b">
        <v>1</v>
      </c>
      <c r="M62" t="b">
        <v>0</v>
      </c>
      <c r="N62" t="s">
        <v>509</v>
      </c>
    </row>
    <row r="63" spans="1:14">
      <c r="A63" s="1" t="s">
        <v>156</v>
      </c>
      <c r="B63" t="str">
        <f t="shared" si="4"/>
        <v>FN_Mamtadevi Shreykumar Dugar</v>
      </c>
      <c r="C63" t="str">
        <f t="shared" si="5"/>
        <v>MN_Mamtadevi Shreykumar Dugar</v>
      </c>
      <c r="D63" t="str">
        <f t="shared" si="6"/>
        <v>LN_Mamtadevi Shreykumar Dugar</v>
      </c>
      <c r="E63" s="4">
        <v>9000000070</v>
      </c>
      <c r="F63" s="4">
        <v>8000000070</v>
      </c>
      <c r="G63" s="4" t="str">
        <f t="shared" si="7"/>
        <v>PEMamtadevi Shreykumar Dugar@Ganeshmeradian.live</v>
      </c>
      <c r="H63" s="4" t="e">
        <f>"AE" &amp;#REF! &amp; "@ganeshmeridian.live"</f>
        <v>#REF!</v>
      </c>
      <c r="I63" t="b">
        <v>1</v>
      </c>
      <c r="J63" t="b">
        <v>0</v>
      </c>
      <c r="K63" t="b">
        <v>1</v>
      </c>
      <c r="L63" t="b">
        <v>1</v>
      </c>
      <c r="M63" t="b">
        <v>0</v>
      </c>
      <c r="N63" t="s">
        <v>509</v>
      </c>
    </row>
    <row r="64" spans="1:14">
      <c r="A64" s="1" t="s">
        <v>463</v>
      </c>
      <c r="B64" t="str">
        <f t="shared" si="4"/>
        <v>FN_Gujarat First</v>
      </c>
      <c r="C64" t="str">
        <f t="shared" si="5"/>
        <v>MN_Gujarat First</v>
      </c>
      <c r="D64" t="str">
        <f t="shared" si="6"/>
        <v>LN_Gujarat First</v>
      </c>
      <c r="E64" s="4">
        <v>9000000071</v>
      </c>
      <c r="F64" s="4">
        <v>8000000071</v>
      </c>
      <c r="G64" s="4" t="str">
        <f t="shared" si="7"/>
        <v>PEGujarat First@Ganeshmeradian.live</v>
      </c>
      <c r="H64" s="4" t="e">
        <f>"AE" &amp;#REF! &amp; "@ganeshmeridian.live"</f>
        <v>#REF!</v>
      </c>
      <c r="I64" t="b">
        <v>1</v>
      </c>
      <c r="J64" t="b">
        <v>0</v>
      </c>
      <c r="K64" t="b">
        <v>1</v>
      </c>
      <c r="L64" t="b">
        <v>1</v>
      </c>
      <c r="M64" t="b">
        <v>0</v>
      </c>
      <c r="N64" t="s">
        <v>509</v>
      </c>
    </row>
    <row r="65" spans="1:14">
      <c r="A65" s="1" t="s">
        <v>420</v>
      </c>
      <c r="B65" t="str">
        <f t="shared" si="4"/>
        <v>FN_Chetan Control System</v>
      </c>
      <c r="C65" t="str">
        <f t="shared" si="5"/>
        <v>MN_Chetan Control System</v>
      </c>
      <c r="D65" t="str">
        <f t="shared" si="6"/>
        <v>LN_Chetan Control System</v>
      </c>
      <c r="E65" s="4">
        <v>9000000072</v>
      </c>
      <c r="F65" s="4">
        <v>8000000072</v>
      </c>
      <c r="G65" s="4" t="str">
        <f t="shared" si="7"/>
        <v>PEChetan Control System@Ganeshmeradian.live</v>
      </c>
      <c r="H65" s="4" t="e">
        <f>"AE" &amp;#REF! &amp; "@ganeshmeridian.live"</f>
        <v>#REF!</v>
      </c>
      <c r="I65" t="b">
        <v>1</v>
      </c>
      <c r="J65" t="b">
        <v>0</v>
      </c>
      <c r="K65" t="b">
        <v>1</v>
      </c>
      <c r="L65" t="b">
        <v>1</v>
      </c>
      <c r="M65" t="b">
        <v>0</v>
      </c>
      <c r="N65" t="s">
        <v>509</v>
      </c>
    </row>
    <row r="66" spans="1:14">
      <c r="A66" s="1" t="s">
        <v>1</v>
      </c>
      <c r="B66" t="str">
        <f t="shared" ref="B66:B97" si="8">"FN_"&amp;A66</f>
        <v>FN_Mitul Tradelink Pvt Ltd</v>
      </c>
      <c r="C66" t="str">
        <f t="shared" ref="C66:C97" si="9">"MN_"&amp;A66</f>
        <v>MN_Mitul Tradelink Pvt Ltd</v>
      </c>
      <c r="D66" t="str">
        <f t="shared" ref="D66:D97" si="10">"LN_"&amp;A66</f>
        <v>LN_Mitul Tradelink Pvt Ltd</v>
      </c>
      <c r="E66" s="4">
        <v>9000000073</v>
      </c>
      <c r="F66" s="4">
        <v>8000000073</v>
      </c>
      <c r="G66" s="4" t="str">
        <f t="shared" ref="G66:G97" si="11">"PE"&amp;A66&amp;"@Ganeshmeradian.live"</f>
        <v>PEMitul Tradelink Pvt Ltd@Ganeshmeradian.live</v>
      </c>
      <c r="H66" s="4" t="e">
        <f>"AE" &amp;#REF! &amp; "@ganeshmeridian.live"</f>
        <v>#REF!</v>
      </c>
      <c r="I66" t="b">
        <v>1</v>
      </c>
      <c r="J66" t="b">
        <v>0</v>
      </c>
      <c r="K66" t="b">
        <v>1</v>
      </c>
      <c r="L66" t="b">
        <v>1</v>
      </c>
      <c r="M66" t="b">
        <v>0</v>
      </c>
      <c r="N66" t="s">
        <v>509</v>
      </c>
    </row>
    <row r="67" spans="1:14">
      <c r="A67" s="1" t="s">
        <v>10</v>
      </c>
      <c r="B67" t="str">
        <f t="shared" si="8"/>
        <v>FN_Maheshbhai Nayak</v>
      </c>
      <c r="C67" t="str">
        <f t="shared" si="9"/>
        <v>MN_Maheshbhai Nayak</v>
      </c>
      <c r="D67" t="str">
        <f t="shared" si="10"/>
        <v>LN_Maheshbhai Nayak</v>
      </c>
      <c r="E67" s="4">
        <v>9000000074</v>
      </c>
      <c r="F67" s="4">
        <v>8000000074</v>
      </c>
      <c r="G67" s="4" t="str">
        <f t="shared" si="11"/>
        <v>PEMaheshbhai Nayak@Ganeshmeradian.live</v>
      </c>
      <c r="H67" s="4" t="e">
        <f>"AE" &amp;#REF! &amp; "@ganeshmeridian.live"</f>
        <v>#REF!</v>
      </c>
      <c r="I67" t="b">
        <v>1</v>
      </c>
      <c r="J67" t="b">
        <v>0</v>
      </c>
      <c r="K67" t="b">
        <v>1</v>
      </c>
      <c r="L67" t="b">
        <v>1</v>
      </c>
      <c r="M67" t="b">
        <v>0</v>
      </c>
      <c r="N67" t="s">
        <v>509</v>
      </c>
    </row>
    <row r="68" spans="1:14">
      <c r="A68" s="1" t="s">
        <v>321</v>
      </c>
      <c r="B68" t="str">
        <f t="shared" si="8"/>
        <v>FN_MellAdmin Consultancy Pvt Ltd</v>
      </c>
      <c r="C68" t="str">
        <f t="shared" si="9"/>
        <v>MN_MellAdmin Consultancy Pvt Ltd</v>
      </c>
      <c r="D68" t="str">
        <f t="shared" si="10"/>
        <v>LN_MellAdmin Consultancy Pvt Ltd</v>
      </c>
      <c r="E68" s="4">
        <v>9000000075</v>
      </c>
      <c r="F68" s="4">
        <v>8000000075</v>
      </c>
      <c r="G68" s="4" t="str">
        <f t="shared" si="11"/>
        <v>PEMellAdmin Consultancy Pvt Ltd@Ganeshmeradian.live</v>
      </c>
      <c r="H68" s="4" t="e">
        <f>"AE" &amp;#REF! &amp; "@ganeshmeridian.live"</f>
        <v>#REF!</v>
      </c>
      <c r="I68" t="b">
        <v>1</v>
      </c>
      <c r="J68" t="b">
        <v>0</v>
      </c>
      <c r="K68" t="b">
        <v>1</v>
      </c>
      <c r="L68" t="b">
        <v>1</v>
      </c>
      <c r="M68" t="b">
        <v>0</v>
      </c>
      <c r="N68" t="s">
        <v>509</v>
      </c>
    </row>
    <row r="69" spans="1:14">
      <c r="A69" s="1" t="s">
        <v>285</v>
      </c>
      <c r="B69" t="str">
        <f t="shared" si="8"/>
        <v>FN_M_s. Shiv Corporation</v>
      </c>
      <c r="C69" t="str">
        <f t="shared" si="9"/>
        <v>MN_M_s. Shiv Corporation</v>
      </c>
      <c r="D69" t="str">
        <f t="shared" si="10"/>
        <v>LN_M_s. Shiv Corporation</v>
      </c>
      <c r="E69" s="4">
        <v>9000000076</v>
      </c>
      <c r="F69" s="4">
        <v>8000000076</v>
      </c>
      <c r="G69" s="4" t="str">
        <f t="shared" si="11"/>
        <v>PEM_s. Shiv Corporation@Ganeshmeradian.live</v>
      </c>
      <c r="H69" s="4" t="e">
        <f>"AE" &amp;#REF! &amp; "@ganeshmeridian.live"</f>
        <v>#REF!</v>
      </c>
      <c r="I69" t="b">
        <v>1</v>
      </c>
      <c r="J69" t="b">
        <v>0</v>
      </c>
      <c r="K69" t="b">
        <v>1</v>
      </c>
      <c r="L69" t="b">
        <v>1</v>
      </c>
      <c r="M69" t="b">
        <v>0</v>
      </c>
      <c r="N69" t="s">
        <v>509</v>
      </c>
    </row>
    <row r="70" spans="1:14">
      <c r="A70" s="1" t="s">
        <v>350</v>
      </c>
      <c r="B70" t="str">
        <f t="shared" si="8"/>
        <v>FN_Jayanti N Katariya</v>
      </c>
      <c r="C70" t="str">
        <f t="shared" si="9"/>
        <v>MN_Jayanti N Katariya</v>
      </c>
      <c r="D70" t="str">
        <f t="shared" si="10"/>
        <v>LN_Jayanti N Katariya</v>
      </c>
      <c r="E70" s="4">
        <v>9000000077</v>
      </c>
      <c r="F70" s="4">
        <v>8000000077</v>
      </c>
      <c r="G70" s="4" t="str">
        <f t="shared" si="11"/>
        <v>PEJayanti N Katariya@Ganeshmeradian.live</v>
      </c>
      <c r="H70" s="4" t="e">
        <f>"AE" &amp;#REF! &amp; "@ganeshmeridian.live"</f>
        <v>#REF!</v>
      </c>
      <c r="I70" t="b">
        <v>1</v>
      </c>
      <c r="J70" t="b">
        <v>0</v>
      </c>
      <c r="K70" t="b">
        <v>1</v>
      </c>
      <c r="L70" t="b">
        <v>1</v>
      </c>
      <c r="M70" t="b">
        <v>0</v>
      </c>
      <c r="N70" t="s">
        <v>509</v>
      </c>
    </row>
    <row r="71" spans="1:14">
      <c r="A71" s="1" t="s">
        <v>14</v>
      </c>
      <c r="B71" t="str">
        <f t="shared" si="8"/>
        <v>FN_Sureshbhai R Patel</v>
      </c>
      <c r="C71" t="str">
        <f t="shared" si="9"/>
        <v>MN_Sureshbhai R Patel</v>
      </c>
      <c r="D71" t="str">
        <f t="shared" si="10"/>
        <v>LN_Sureshbhai R Patel</v>
      </c>
      <c r="E71" s="4">
        <v>9000000078</v>
      </c>
      <c r="F71" s="4">
        <v>8000000078</v>
      </c>
      <c r="G71" s="4" t="str">
        <f t="shared" si="11"/>
        <v>PESureshbhai R Patel@Ganeshmeradian.live</v>
      </c>
      <c r="H71" s="4" t="e">
        <f>"AE" &amp;#REF! &amp; "@ganeshmeridian.live"</f>
        <v>#REF!</v>
      </c>
      <c r="I71" t="b">
        <v>1</v>
      </c>
      <c r="J71" t="b">
        <v>0</v>
      </c>
      <c r="K71" t="b">
        <v>1</v>
      </c>
      <c r="L71" t="b">
        <v>1</v>
      </c>
      <c r="M71" t="b">
        <v>0</v>
      </c>
      <c r="N71" t="s">
        <v>509</v>
      </c>
    </row>
    <row r="72" spans="1:14">
      <c r="A72" s="1" t="s">
        <v>240</v>
      </c>
      <c r="B72" t="str">
        <f t="shared" si="8"/>
        <v>FN_Devang J Joshi</v>
      </c>
      <c r="C72" t="str">
        <f t="shared" si="9"/>
        <v>MN_Devang J Joshi</v>
      </c>
      <c r="D72" t="str">
        <f t="shared" si="10"/>
        <v>LN_Devang J Joshi</v>
      </c>
      <c r="E72" s="4">
        <v>9000000079</v>
      </c>
      <c r="F72" s="4">
        <v>8000000079</v>
      </c>
      <c r="G72" s="4" t="str">
        <f t="shared" si="11"/>
        <v>PEDevang J Joshi@Ganeshmeradian.live</v>
      </c>
      <c r="H72" s="4" t="e">
        <f>"AE" &amp;#REF! &amp; "@ganeshmeridian.live"</f>
        <v>#REF!</v>
      </c>
      <c r="I72" t="b">
        <v>1</v>
      </c>
      <c r="J72" t="b">
        <v>0</v>
      </c>
      <c r="K72" t="b">
        <v>1</v>
      </c>
      <c r="L72" t="b">
        <v>1</v>
      </c>
      <c r="M72" t="b">
        <v>0</v>
      </c>
      <c r="N72" t="s">
        <v>509</v>
      </c>
    </row>
    <row r="73" spans="1:14">
      <c r="A73" s="1" t="s">
        <v>325</v>
      </c>
      <c r="B73" t="str">
        <f t="shared" si="8"/>
        <v>FN_MH Xorbian Tech Pvt Ltd</v>
      </c>
      <c r="C73" t="str">
        <f t="shared" si="9"/>
        <v>MN_MH Xorbian Tech Pvt Ltd</v>
      </c>
      <c r="D73" t="str">
        <f t="shared" si="10"/>
        <v>LN_MH Xorbian Tech Pvt Ltd</v>
      </c>
      <c r="E73" s="4">
        <v>9000000080</v>
      </c>
      <c r="F73" s="4">
        <v>8000000080</v>
      </c>
      <c r="G73" s="4" t="str">
        <f t="shared" si="11"/>
        <v>PEMH Xorbian Tech Pvt Ltd@Ganeshmeradian.live</v>
      </c>
      <c r="H73" s="4" t="e">
        <f>"AE" &amp;#REF! &amp; "@ganeshmeridian.live"</f>
        <v>#REF!</v>
      </c>
      <c r="I73" t="b">
        <v>1</v>
      </c>
      <c r="J73" t="b">
        <v>0</v>
      </c>
      <c r="K73" t="b">
        <v>1</v>
      </c>
      <c r="L73" t="b">
        <v>1</v>
      </c>
      <c r="M73" t="b">
        <v>0</v>
      </c>
      <c r="N73" t="s">
        <v>509</v>
      </c>
    </row>
    <row r="74" spans="1:14">
      <c r="A74" s="1" t="s">
        <v>263</v>
      </c>
      <c r="B74" t="str">
        <f t="shared" si="8"/>
        <v>FN_Meenu Chandramohan Kumar</v>
      </c>
      <c r="C74" t="str">
        <f t="shared" si="9"/>
        <v>MN_Meenu Chandramohan Kumar</v>
      </c>
      <c r="D74" t="str">
        <f t="shared" si="10"/>
        <v>LN_Meenu Chandramohan Kumar</v>
      </c>
      <c r="E74" s="4">
        <v>9000000081</v>
      </c>
      <c r="F74" s="4">
        <v>8000000081</v>
      </c>
      <c r="G74" s="4" t="str">
        <f t="shared" si="11"/>
        <v>PEMeenu Chandramohan Kumar@Ganeshmeradian.live</v>
      </c>
      <c r="H74" s="4" t="e">
        <f>"AE" &amp;#REF! &amp; "@ganeshmeridian.live"</f>
        <v>#REF!</v>
      </c>
      <c r="I74" t="b">
        <v>1</v>
      </c>
      <c r="J74" t="b">
        <v>0</v>
      </c>
      <c r="K74" t="b">
        <v>1</v>
      </c>
      <c r="L74" t="b">
        <v>1</v>
      </c>
      <c r="M74" t="b">
        <v>0</v>
      </c>
      <c r="N74" t="s">
        <v>509</v>
      </c>
    </row>
    <row r="75" spans="1:14">
      <c r="A75" s="1" t="s">
        <v>317</v>
      </c>
      <c r="B75" t="str">
        <f t="shared" si="8"/>
        <v>FN_Yogendra M Thakore</v>
      </c>
      <c r="C75" t="str">
        <f t="shared" si="9"/>
        <v>MN_Yogendra M Thakore</v>
      </c>
      <c r="D75" t="str">
        <f t="shared" si="10"/>
        <v>LN_Yogendra M Thakore</v>
      </c>
      <c r="E75" s="4">
        <v>9000000082</v>
      </c>
      <c r="F75" s="4">
        <v>8000000082</v>
      </c>
      <c r="G75" s="4" t="str">
        <f t="shared" si="11"/>
        <v>PEYogendra M Thakore@Ganeshmeradian.live</v>
      </c>
      <c r="H75" s="4" t="e">
        <f>"AE" &amp;#REF! &amp; "@ganeshmeridian.live"</f>
        <v>#REF!</v>
      </c>
      <c r="I75" t="b">
        <v>1</v>
      </c>
      <c r="J75" t="b">
        <v>0</v>
      </c>
      <c r="K75" t="b">
        <v>1</v>
      </c>
      <c r="L75" t="b">
        <v>1</v>
      </c>
      <c r="M75" t="b">
        <v>0</v>
      </c>
      <c r="N75" t="s">
        <v>509</v>
      </c>
    </row>
    <row r="76" spans="1:14">
      <c r="A76" s="1" t="s">
        <v>438</v>
      </c>
      <c r="B76" t="str">
        <f t="shared" si="8"/>
        <v>FN_Anuj Ashokkumar Modi</v>
      </c>
      <c r="C76" t="str">
        <f t="shared" si="9"/>
        <v>MN_Anuj Ashokkumar Modi</v>
      </c>
      <c r="D76" t="str">
        <f t="shared" si="10"/>
        <v>LN_Anuj Ashokkumar Modi</v>
      </c>
      <c r="E76" s="4">
        <v>9000000083</v>
      </c>
      <c r="F76" s="4">
        <v>8000000083</v>
      </c>
      <c r="G76" s="4" t="str">
        <f t="shared" si="11"/>
        <v>PEAnuj Ashokkumar Modi@Ganeshmeradian.live</v>
      </c>
      <c r="H76" s="4" t="e">
        <f>"AE" &amp;#REF! &amp; "@ganeshmeridian.live"</f>
        <v>#REF!</v>
      </c>
      <c r="I76" t="b">
        <v>1</v>
      </c>
      <c r="J76" t="b">
        <v>0</v>
      </c>
      <c r="K76" t="b">
        <v>1</v>
      </c>
      <c r="L76" t="b">
        <v>1</v>
      </c>
      <c r="M76" t="b">
        <v>0</v>
      </c>
      <c r="N76" t="s">
        <v>509</v>
      </c>
    </row>
    <row r="77" spans="1:14">
      <c r="A77" s="1" t="s">
        <v>393</v>
      </c>
      <c r="B77" t="str">
        <f t="shared" si="8"/>
        <v>FN_Jaykumar Rajnikant Sitapara</v>
      </c>
      <c r="C77" t="str">
        <f t="shared" si="9"/>
        <v>MN_Jaykumar Rajnikant Sitapara</v>
      </c>
      <c r="D77" t="str">
        <f t="shared" si="10"/>
        <v>LN_Jaykumar Rajnikant Sitapara</v>
      </c>
      <c r="E77" s="4">
        <v>9000000086</v>
      </c>
      <c r="F77" s="4">
        <v>8000000086</v>
      </c>
      <c r="G77" s="4" t="str">
        <f t="shared" si="11"/>
        <v>PEJaykumar Rajnikant Sitapara@Ganeshmeradian.live</v>
      </c>
      <c r="H77" s="4" t="e">
        <f>"AE" &amp;#REF! &amp; "@ganeshmeridian.live"</f>
        <v>#REF!</v>
      </c>
      <c r="I77" t="b">
        <v>1</v>
      </c>
      <c r="J77" t="b">
        <v>0</v>
      </c>
      <c r="K77" t="b">
        <v>1</v>
      </c>
      <c r="L77" t="b">
        <v>1</v>
      </c>
      <c r="M77" t="b">
        <v>0</v>
      </c>
      <c r="N77" t="s">
        <v>509</v>
      </c>
    </row>
    <row r="78" spans="1:14">
      <c r="A78" s="1" t="s">
        <v>335</v>
      </c>
      <c r="B78" t="str">
        <f t="shared" si="8"/>
        <v>FN_Multidots Solutions Pvt Ltd</v>
      </c>
      <c r="C78" t="str">
        <f t="shared" si="9"/>
        <v>MN_Multidots Solutions Pvt Ltd</v>
      </c>
      <c r="D78" t="str">
        <f t="shared" si="10"/>
        <v>LN_Multidots Solutions Pvt Ltd</v>
      </c>
      <c r="E78" s="4">
        <v>9000000088</v>
      </c>
      <c r="F78" s="4">
        <v>8000000088</v>
      </c>
      <c r="G78" s="4" t="str">
        <f t="shared" si="11"/>
        <v>PEMultidots Solutions Pvt Ltd@Ganeshmeradian.live</v>
      </c>
      <c r="H78" s="4" t="e">
        <f>"AE" &amp;#REF! &amp; "@ganeshmeridian.live"</f>
        <v>#REF!</v>
      </c>
      <c r="I78" t="b">
        <v>1</v>
      </c>
      <c r="J78" t="b">
        <v>0</v>
      </c>
      <c r="K78" t="b">
        <v>1</v>
      </c>
      <c r="L78" t="b">
        <v>1</v>
      </c>
      <c r="M78" t="b">
        <v>0</v>
      </c>
      <c r="N78" t="s">
        <v>509</v>
      </c>
    </row>
    <row r="79" spans="1:14">
      <c r="A79" s="1" t="s">
        <v>115</v>
      </c>
      <c r="B79" t="str">
        <f t="shared" si="8"/>
        <v>FN_J.K. Plastopack P. Ltd</v>
      </c>
      <c r="C79" t="str">
        <f t="shared" si="9"/>
        <v>MN_J.K. Plastopack P. Ltd</v>
      </c>
      <c r="D79" t="str">
        <f t="shared" si="10"/>
        <v>LN_J.K. Plastopack P. Ltd</v>
      </c>
      <c r="E79" s="4">
        <v>9000000089</v>
      </c>
      <c r="F79" s="4">
        <v>8000000089</v>
      </c>
      <c r="G79" s="4" t="str">
        <f t="shared" si="11"/>
        <v>PEJ.K. Plastopack P. Ltd@Ganeshmeradian.live</v>
      </c>
      <c r="H79" s="4" t="e">
        <f>"AE" &amp;#REF! &amp; "@ganeshmeridian.live"</f>
        <v>#REF!</v>
      </c>
      <c r="I79" t="b">
        <v>1</v>
      </c>
      <c r="J79" t="b">
        <v>0</v>
      </c>
      <c r="K79" t="b">
        <v>1</v>
      </c>
      <c r="L79" t="b">
        <v>1</v>
      </c>
      <c r="M79" t="b">
        <v>0</v>
      </c>
      <c r="N79" t="s">
        <v>509</v>
      </c>
    </row>
    <row r="80" spans="1:14">
      <c r="A80" s="1" t="s">
        <v>22</v>
      </c>
      <c r="B80" t="str">
        <f t="shared" si="8"/>
        <v>FN_S.A. Sumara</v>
      </c>
      <c r="C80" t="str">
        <f t="shared" si="9"/>
        <v>MN_S.A. Sumara</v>
      </c>
      <c r="D80" t="str">
        <f t="shared" si="10"/>
        <v>LN_S.A. Sumara</v>
      </c>
      <c r="E80" s="4">
        <v>9000000091</v>
      </c>
      <c r="F80" s="4">
        <v>8000000091</v>
      </c>
      <c r="G80" s="4" t="str">
        <f t="shared" si="11"/>
        <v>PES.A. Sumara@Ganeshmeradian.live</v>
      </c>
      <c r="H80" s="4" t="e">
        <f>"AE" &amp;#REF! &amp; "@ganeshmeridian.live"</f>
        <v>#REF!</v>
      </c>
      <c r="I80" t="b">
        <v>1</v>
      </c>
      <c r="J80" t="b">
        <v>0</v>
      </c>
      <c r="K80" t="b">
        <v>1</v>
      </c>
      <c r="L80" t="b">
        <v>1</v>
      </c>
      <c r="M80" t="b">
        <v>0</v>
      </c>
      <c r="N80" t="s">
        <v>509</v>
      </c>
    </row>
    <row r="81" spans="1:14">
      <c r="A81" s="1" t="s">
        <v>389</v>
      </c>
      <c r="B81" t="str">
        <f t="shared" si="8"/>
        <v>FN_Jagdish S Dholu</v>
      </c>
      <c r="C81" t="str">
        <f t="shared" si="9"/>
        <v>MN_Jagdish S Dholu</v>
      </c>
      <c r="D81" t="str">
        <f t="shared" si="10"/>
        <v>LN_Jagdish S Dholu</v>
      </c>
      <c r="E81" s="4">
        <v>9000000092</v>
      </c>
      <c r="F81" s="4">
        <v>8000000092</v>
      </c>
      <c r="G81" s="4" t="str">
        <f t="shared" si="11"/>
        <v>PEJagdish S Dholu@Ganeshmeradian.live</v>
      </c>
      <c r="H81" s="4" t="e">
        <f>"AE" &amp;#REF! &amp; "@ganeshmeridian.live"</f>
        <v>#REF!</v>
      </c>
      <c r="I81" t="b">
        <v>1</v>
      </c>
      <c r="J81" t="b">
        <v>0</v>
      </c>
      <c r="K81" t="b">
        <v>1</v>
      </c>
      <c r="L81" t="b">
        <v>1</v>
      </c>
      <c r="M81" t="b">
        <v>0</v>
      </c>
      <c r="N81" t="s">
        <v>509</v>
      </c>
    </row>
    <row r="82" spans="1:14">
      <c r="A82" s="1" t="s">
        <v>213</v>
      </c>
      <c r="B82" t="str">
        <f t="shared" si="8"/>
        <v>FN_Keshavlal Sohanlal Jain</v>
      </c>
      <c r="C82" t="str">
        <f t="shared" si="9"/>
        <v>MN_Keshavlal Sohanlal Jain</v>
      </c>
      <c r="D82" t="str">
        <f t="shared" si="10"/>
        <v>LN_Keshavlal Sohanlal Jain</v>
      </c>
      <c r="E82" s="4">
        <v>9000000093</v>
      </c>
      <c r="F82" s="4">
        <v>8000000093</v>
      </c>
      <c r="G82" s="4" t="str">
        <f t="shared" si="11"/>
        <v>PEKeshavlal Sohanlal Jain@Ganeshmeradian.live</v>
      </c>
      <c r="H82" s="4" t="e">
        <f>"AE" &amp;#REF! &amp; "@ganeshmeridian.live"</f>
        <v>#REF!</v>
      </c>
      <c r="I82" t="b">
        <v>1</v>
      </c>
      <c r="J82" t="b">
        <v>0</v>
      </c>
      <c r="K82" t="b">
        <v>1</v>
      </c>
      <c r="L82" t="b">
        <v>1</v>
      </c>
      <c r="M82" t="b">
        <v>0</v>
      </c>
      <c r="N82" t="s">
        <v>509</v>
      </c>
    </row>
    <row r="83" spans="1:14">
      <c r="A83" s="1" t="s">
        <v>123</v>
      </c>
      <c r="B83" t="str">
        <f t="shared" si="8"/>
        <v>FN_Mehsana Dist Co Op Milk Pro</v>
      </c>
      <c r="C83" t="str">
        <f t="shared" si="9"/>
        <v>MN_Mehsana Dist Co Op Milk Pro</v>
      </c>
      <c r="D83" t="str">
        <f t="shared" si="10"/>
        <v>LN_Mehsana Dist Co Op Milk Pro</v>
      </c>
      <c r="E83" s="4">
        <v>9000000095</v>
      </c>
      <c r="F83" s="4">
        <v>8000000095</v>
      </c>
      <c r="G83" s="4" t="str">
        <f t="shared" si="11"/>
        <v>PEMehsana Dist Co Op Milk Pro@Ganeshmeradian.live</v>
      </c>
      <c r="H83" s="4" t="e">
        <f>"AE" &amp;#REF! &amp; "@ganeshmeridian.live"</f>
        <v>#REF!</v>
      </c>
      <c r="I83" t="b">
        <v>1</v>
      </c>
      <c r="J83" t="b">
        <v>0</v>
      </c>
      <c r="K83" t="b">
        <v>1</v>
      </c>
      <c r="L83" t="b">
        <v>1</v>
      </c>
      <c r="M83" t="b">
        <v>0</v>
      </c>
      <c r="N83" t="s">
        <v>509</v>
      </c>
    </row>
    <row r="84" spans="1:14">
      <c r="A84" s="1" t="s">
        <v>146</v>
      </c>
      <c r="B84" t="str">
        <f t="shared" si="8"/>
        <v>FN_The Grid</v>
      </c>
      <c r="C84" t="str">
        <f t="shared" si="9"/>
        <v>MN_The Grid</v>
      </c>
      <c r="D84" t="str">
        <f t="shared" si="10"/>
        <v>LN_The Grid</v>
      </c>
      <c r="E84" s="4">
        <v>9000000097</v>
      </c>
      <c r="F84" s="4">
        <v>8000000097</v>
      </c>
      <c r="G84" s="4" t="str">
        <f t="shared" si="11"/>
        <v>PEThe Grid@Ganeshmeradian.live</v>
      </c>
      <c r="H84" s="4" t="e">
        <f>"AE" &amp;#REF! &amp; "@ganeshmeridian.live"</f>
        <v>#REF!</v>
      </c>
      <c r="I84" t="b">
        <v>1</v>
      </c>
      <c r="J84" t="b">
        <v>0</v>
      </c>
      <c r="K84" t="b">
        <v>1</v>
      </c>
      <c r="L84" t="b">
        <v>1</v>
      </c>
      <c r="M84" t="b">
        <v>0</v>
      </c>
      <c r="N84" t="s">
        <v>509</v>
      </c>
    </row>
    <row r="85" spans="1:14">
      <c r="A85" s="1" t="s">
        <v>131</v>
      </c>
      <c r="B85" t="str">
        <f t="shared" si="8"/>
        <v xml:space="preserve">FN_Dipak Chandulal Bhavsar </v>
      </c>
      <c r="C85" t="str">
        <f t="shared" si="9"/>
        <v xml:space="preserve">MN_Dipak Chandulal Bhavsar </v>
      </c>
      <c r="D85" t="str">
        <f t="shared" si="10"/>
        <v xml:space="preserve">LN_Dipak Chandulal Bhavsar </v>
      </c>
      <c r="E85" s="4">
        <v>9000000098</v>
      </c>
      <c r="F85" s="4">
        <v>8000000098</v>
      </c>
      <c r="G85" s="4" t="str">
        <f t="shared" si="11"/>
        <v>PEDipak Chandulal Bhavsar @Ganeshmeradian.live</v>
      </c>
      <c r="H85" s="4" t="e">
        <f>"AE" &amp;#REF! &amp; "@ganeshmeridian.live"</f>
        <v>#REF!</v>
      </c>
      <c r="I85" t="b">
        <v>1</v>
      </c>
      <c r="J85" t="b">
        <v>0</v>
      </c>
      <c r="K85" t="b">
        <v>1</v>
      </c>
      <c r="L85" t="b">
        <v>1</v>
      </c>
      <c r="M85" t="b">
        <v>0</v>
      </c>
      <c r="N85" t="s">
        <v>509</v>
      </c>
    </row>
    <row r="86" spans="1:14">
      <c r="A86" s="1" t="s">
        <v>235</v>
      </c>
      <c r="B86" t="str">
        <f t="shared" si="8"/>
        <v>FN_Ramdev Resins Pvt Ltd</v>
      </c>
      <c r="C86" t="str">
        <f t="shared" si="9"/>
        <v>MN_Ramdev Resins Pvt Ltd</v>
      </c>
      <c r="D86" t="str">
        <f t="shared" si="10"/>
        <v>LN_Ramdev Resins Pvt Ltd</v>
      </c>
      <c r="E86" s="4">
        <v>9000000099</v>
      </c>
      <c r="F86" s="4">
        <v>8000000099</v>
      </c>
      <c r="G86" s="4" t="str">
        <f t="shared" si="11"/>
        <v>PERamdev Resins Pvt Ltd@Ganeshmeradian.live</v>
      </c>
      <c r="H86" s="4" t="e">
        <f>"AE" &amp;#REF! &amp; "@ganeshmeridian.live"</f>
        <v>#REF!</v>
      </c>
      <c r="I86" t="b">
        <v>1</v>
      </c>
      <c r="J86" t="b">
        <v>0</v>
      </c>
      <c r="K86" t="b">
        <v>1</v>
      </c>
      <c r="L86" t="b">
        <v>1</v>
      </c>
      <c r="M86" t="b">
        <v>0</v>
      </c>
      <c r="N86" t="s">
        <v>509</v>
      </c>
    </row>
    <row r="87" spans="1:14">
      <c r="A87" s="1" t="s">
        <v>412</v>
      </c>
      <c r="B87" t="str">
        <f t="shared" si="8"/>
        <v>FN_Kumaresh K Trivedi</v>
      </c>
      <c r="C87" t="str">
        <f t="shared" si="9"/>
        <v>MN_Kumaresh K Trivedi</v>
      </c>
      <c r="D87" t="str">
        <f t="shared" si="10"/>
        <v>LN_Kumaresh K Trivedi</v>
      </c>
      <c r="E87" s="4">
        <v>9000000100</v>
      </c>
      <c r="F87" s="4">
        <v>8000000100</v>
      </c>
      <c r="G87" s="4" t="str">
        <f t="shared" si="11"/>
        <v>PEKumaresh K Trivedi@Ganeshmeradian.live</v>
      </c>
      <c r="H87" s="4" t="e">
        <f>"AE" &amp;#REF! &amp; "@ganeshmeridian.live"</f>
        <v>#REF!</v>
      </c>
      <c r="I87" t="b">
        <v>1</v>
      </c>
      <c r="J87" t="b">
        <v>0</v>
      </c>
      <c r="K87" t="b">
        <v>1</v>
      </c>
      <c r="L87" t="b">
        <v>1</v>
      </c>
      <c r="M87" t="b">
        <v>0</v>
      </c>
      <c r="N87" t="s">
        <v>509</v>
      </c>
    </row>
    <row r="88" spans="1:14">
      <c r="A88" s="1" t="s">
        <v>387</v>
      </c>
      <c r="B88" t="str">
        <f t="shared" si="8"/>
        <v>FN_Meenaben Ganpatbhai Patel</v>
      </c>
      <c r="C88" t="str">
        <f t="shared" si="9"/>
        <v>MN_Meenaben Ganpatbhai Patel</v>
      </c>
      <c r="D88" t="str">
        <f t="shared" si="10"/>
        <v>LN_Meenaben Ganpatbhai Patel</v>
      </c>
      <c r="E88" s="4">
        <v>9000000102</v>
      </c>
      <c r="F88" s="4">
        <v>8000000102</v>
      </c>
      <c r="G88" s="4" t="str">
        <f t="shared" si="11"/>
        <v>PEMeenaben Ganpatbhai Patel@Ganeshmeradian.live</v>
      </c>
      <c r="H88" s="4" t="e">
        <f>"AE" &amp;#REF! &amp; "@ganeshmeridian.live"</f>
        <v>#REF!</v>
      </c>
      <c r="I88" t="b">
        <v>1</v>
      </c>
      <c r="J88" t="b">
        <v>0</v>
      </c>
      <c r="K88" t="b">
        <v>1</v>
      </c>
      <c r="L88" t="b">
        <v>1</v>
      </c>
      <c r="M88" t="b">
        <v>0</v>
      </c>
      <c r="N88" t="s">
        <v>509</v>
      </c>
    </row>
    <row r="89" spans="1:14">
      <c r="A89" s="1" t="s">
        <v>144</v>
      </c>
      <c r="B89" t="str">
        <f t="shared" si="8"/>
        <v xml:space="preserve">FN_Purvi Ashish Shah </v>
      </c>
      <c r="C89" t="str">
        <f t="shared" si="9"/>
        <v xml:space="preserve">MN_Purvi Ashish Shah </v>
      </c>
      <c r="D89" t="str">
        <f t="shared" si="10"/>
        <v xml:space="preserve">LN_Purvi Ashish Shah </v>
      </c>
      <c r="E89" s="4">
        <v>9000000103</v>
      </c>
      <c r="F89" s="4">
        <v>8000000103</v>
      </c>
      <c r="G89" s="4" t="str">
        <f t="shared" si="11"/>
        <v>PEPurvi Ashish Shah @Ganeshmeradian.live</v>
      </c>
      <c r="H89" s="4" t="e">
        <f>"AE" &amp;#REF! &amp; "@ganeshmeridian.live"</f>
        <v>#REF!</v>
      </c>
      <c r="I89" t="b">
        <v>1</v>
      </c>
      <c r="J89" t="b">
        <v>0</v>
      </c>
      <c r="K89" t="b">
        <v>1</v>
      </c>
      <c r="L89" t="b">
        <v>1</v>
      </c>
      <c r="M89" t="b">
        <v>0</v>
      </c>
      <c r="N89" t="s">
        <v>509</v>
      </c>
    </row>
    <row r="90" spans="1:14">
      <c r="A90" s="1" t="s">
        <v>154</v>
      </c>
      <c r="B90" t="str">
        <f t="shared" si="8"/>
        <v>FN_Jyotiba Bhavansinh Parmar</v>
      </c>
      <c r="C90" t="str">
        <f t="shared" si="9"/>
        <v>MN_Jyotiba Bhavansinh Parmar</v>
      </c>
      <c r="D90" t="str">
        <f t="shared" si="10"/>
        <v>LN_Jyotiba Bhavansinh Parmar</v>
      </c>
      <c r="E90" s="4">
        <v>9000000104</v>
      </c>
      <c r="F90" s="4">
        <v>8000000104</v>
      </c>
      <c r="G90" s="4" t="str">
        <f t="shared" si="11"/>
        <v>PEJyotiba Bhavansinh Parmar@Ganeshmeradian.live</v>
      </c>
      <c r="H90" s="4" t="e">
        <f>"AE" &amp;#REF! &amp; "@ganeshmeridian.live"</f>
        <v>#REF!</v>
      </c>
      <c r="I90" t="b">
        <v>1</v>
      </c>
      <c r="J90" t="b">
        <v>0</v>
      </c>
      <c r="K90" t="b">
        <v>1</v>
      </c>
      <c r="L90" t="b">
        <v>1</v>
      </c>
      <c r="M90" t="b">
        <v>0</v>
      </c>
      <c r="N90" t="s">
        <v>509</v>
      </c>
    </row>
    <row r="91" spans="1:14">
      <c r="A91" s="1" t="s">
        <v>3</v>
      </c>
      <c r="B91" t="str">
        <f t="shared" si="8"/>
        <v>FN_MAP Refoils India Ltd</v>
      </c>
      <c r="C91" t="str">
        <f t="shared" si="9"/>
        <v>MN_MAP Refoils India Ltd</v>
      </c>
      <c r="D91" t="str">
        <f t="shared" si="10"/>
        <v>LN_MAP Refoils India Ltd</v>
      </c>
      <c r="E91" s="4">
        <v>9000000105</v>
      </c>
      <c r="F91" s="4">
        <v>8000000105</v>
      </c>
      <c r="G91" s="4" t="str">
        <f t="shared" si="11"/>
        <v>PEMAP Refoils India Ltd@Ganeshmeradian.live</v>
      </c>
      <c r="H91" s="4" t="e">
        <f>"AE" &amp;#REF! &amp; "@ganeshmeridian.live"</f>
        <v>#REF!</v>
      </c>
      <c r="I91" t="b">
        <v>1</v>
      </c>
      <c r="J91" t="b">
        <v>0</v>
      </c>
      <c r="K91" t="b">
        <v>1</v>
      </c>
      <c r="L91" t="b">
        <v>1</v>
      </c>
      <c r="M91" t="b">
        <v>0</v>
      </c>
      <c r="N91" t="s">
        <v>509</v>
      </c>
    </row>
    <row r="92" spans="1:14">
      <c r="A92" s="1" t="s">
        <v>408</v>
      </c>
      <c r="B92" t="str">
        <f t="shared" si="8"/>
        <v>FN_Ranjanben M. Parmar</v>
      </c>
      <c r="C92" t="str">
        <f t="shared" si="9"/>
        <v>MN_Ranjanben M. Parmar</v>
      </c>
      <c r="D92" t="str">
        <f t="shared" si="10"/>
        <v>LN_Ranjanben M. Parmar</v>
      </c>
      <c r="E92" s="4">
        <v>9000000106</v>
      </c>
      <c r="F92" s="4">
        <v>8000000106</v>
      </c>
      <c r="G92" s="4" t="str">
        <f t="shared" si="11"/>
        <v>PERanjanben M. Parmar@Ganeshmeradian.live</v>
      </c>
      <c r="H92" s="4" t="e">
        <f>"AE" &amp;#REF! &amp; "@ganeshmeridian.live"</f>
        <v>#REF!</v>
      </c>
      <c r="I92" t="b">
        <v>1</v>
      </c>
      <c r="J92" t="b">
        <v>0</v>
      </c>
      <c r="K92" t="b">
        <v>1</v>
      </c>
      <c r="L92" t="b">
        <v>1</v>
      </c>
      <c r="M92" t="b">
        <v>0</v>
      </c>
      <c r="N92" t="s">
        <v>509</v>
      </c>
    </row>
    <row r="93" spans="1:14">
      <c r="A93" s="1" t="s">
        <v>129</v>
      </c>
      <c r="B93" t="str">
        <f t="shared" si="8"/>
        <v>FN_Nirmalaben Balkrushna Thakkar</v>
      </c>
      <c r="C93" t="str">
        <f t="shared" si="9"/>
        <v>MN_Nirmalaben Balkrushna Thakkar</v>
      </c>
      <c r="D93" t="str">
        <f t="shared" si="10"/>
        <v>LN_Nirmalaben Balkrushna Thakkar</v>
      </c>
      <c r="E93" s="4">
        <v>9000000110</v>
      </c>
      <c r="F93" s="4">
        <v>8000000110</v>
      </c>
      <c r="G93" s="4" t="str">
        <f t="shared" si="11"/>
        <v>PENirmalaben Balkrushna Thakkar@Ganeshmeradian.live</v>
      </c>
      <c r="H93" s="4" t="e">
        <f>"AE" &amp;#REF! &amp; "@ganeshmeridian.live"</f>
        <v>#REF!</v>
      </c>
      <c r="I93" t="b">
        <v>1</v>
      </c>
      <c r="J93" t="b">
        <v>0</v>
      </c>
      <c r="K93" t="b">
        <v>1</v>
      </c>
      <c r="L93" t="b">
        <v>1</v>
      </c>
      <c r="M93" t="b">
        <v>0</v>
      </c>
      <c r="N93" t="s">
        <v>509</v>
      </c>
    </row>
    <row r="94" spans="1:14">
      <c r="A94" s="1" t="s">
        <v>452</v>
      </c>
      <c r="B94" t="str">
        <f t="shared" si="8"/>
        <v>FN_Patel Vipul Parshottambhai</v>
      </c>
      <c r="C94" t="str">
        <f t="shared" si="9"/>
        <v>MN_Patel Vipul Parshottambhai</v>
      </c>
      <c r="D94" t="str">
        <f t="shared" si="10"/>
        <v>LN_Patel Vipul Parshottambhai</v>
      </c>
      <c r="E94" s="4">
        <v>9000000111</v>
      </c>
      <c r="F94" s="4">
        <v>8000000111</v>
      </c>
      <c r="G94" s="4" t="str">
        <f t="shared" si="11"/>
        <v>PEPatel Vipul Parshottambhai@Ganeshmeradian.live</v>
      </c>
      <c r="H94" s="4" t="e">
        <f>"AE" &amp;#REF! &amp; "@ganeshmeridian.live"</f>
        <v>#REF!</v>
      </c>
      <c r="I94" t="b">
        <v>1</v>
      </c>
      <c r="J94" t="b">
        <v>0</v>
      </c>
      <c r="K94" t="b">
        <v>1</v>
      </c>
      <c r="L94" t="b">
        <v>1</v>
      </c>
      <c r="M94" t="b">
        <v>0</v>
      </c>
      <c r="N94" t="s">
        <v>509</v>
      </c>
    </row>
    <row r="95" spans="1:14">
      <c r="A95" s="1" t="s">
        <v>303</v>
      </c>
      <c r="B95" t="str">
        <f t="shared" si="8"/>
        <v xml:space="preserve">FN_Hiren M Patel </v>
      </c>
      <c r="C95" t="str">
        <f t="shared" si="9"/>
        <v xml:space="preserve">MN_Hiren M Patel </v>
      </c>
      <c r="D95" t="str">
        <f t="shared" si="10"/>
        <v xml:space="preserve">LN_Hiren M Patel </v>
      </c>
      <c r="E95" s="4">
        <v>9000000112</v>
      </c>
      <c r="F95" s="4">
        <v>8000000112</v>
      </c>
      <c r="G95" s="4" t="str">
        <f t="shared" si="11"/>
        <v>PEHiren M Patel @Ganeshmeradian.live</v>
      </c>
      <c r="H95" s="4" t="e">
        <f>"AE" &amp;#REF! &amp; "@ganeshmeridian.live"</f>
        <v>#REF!</v>
      </c>
      <c r="I95" t="b">
        <v>1</v>
      </c>
      <c r="J95" t="b">
        <v>0</v>
      </c>
      <c r="K95" t="b">
        <v>1</v>
      </c>
      <c r="L95" t="b">
        <v>1</v>
      </c>
      <c r="M95" t="b">
        <v>0</v>
      </c>
      <c r="N95" t="s">
        <v>509</v>
      </c>
    </row>
    <row r="96" spans="1:14">
      <c r="A96" s="1" t="s">
        <v>313</v>
      </c>
      <c r="B96" t="str">
        <f t="shared" si="8"/>
        <v>FN_Vinodbhai</v>
      </c>
      <c r="C96" t="str">
        <f t="shared" si="9"/>
        <v>MN_Vinodbhai</v>
      </c>
      <c r="D96" t="str">
        <f t="shared" si="10"/>
        <v>LN_Vinodbhai</v>
      </c>
      <c r="E96" s="4">
        <v>9000000118</v>
      </c>
      <c r="F96" s="4">
        <v>8000000118</v>
      </c>
      <c r="G96" s="4" t="str">
        <f t="shared" si="11"/>
        <v>PEVinodbhai@Ganeshmeradian.live</v>
      </c>
      <c r="H96" s="4" t="e">
        <f>"AE" &amp;#REF! &amp; "@ganeshmeridian.live"</f>
        <v>#REF!</v>
      </c>
      <c r="I96" t="b">
        <v>1</v>
      </c>
      <c r="J96" t="b">
        <v>0</v>
      </c>
      <c r="K96" t="b">
        <v>1</v>
      </c>
      <c r="L96" t="b">
        <v>1</v>
      </c>
      <c r="M96" t="b">
        <v>0</v>
      </c>
      <c r="N96" t="s">
        <v>509</v>
      </c>
    </row>
    <row r="97" spans="1:14">
      <c r="A97" s="1" t="s">
        <v>205</v>
      </c>
      <c r="B97" t="str">
        <f t="shared" si="8"/>
        <v>FN_Arovea Technologies</v>
      </c>
      <c r="C97" t="str">
        <f t="shared" si="9"/>
        <v>MN_Arovea Technologies</v>
      </c>
      <c r="D97" t="str">
        <f t="shared" si="10"/>
        <v>LN_Arovea Technologies</v>
      </c>
      <c r="E97" s="4">
        <v>9000000119</v>
      </c>
      <c r="F97" s="4">
        <v>8000000119</v>
      </c>
      <c r="G97" s="4" t="str">
        <f t="shared" si="11"/>
        <v>PEArovea Technologies@Ganeshmeradian.live</v>
      </c>
      <c r="H97" s="4" t="e">
        <f>"AE" &amp;#REF! &amp; "@ganeshmeridian.live"</f>
        <v>#REF!</v>
      </c>
      <c r="I97" t="b">
        <v>1</v>
      </c>
      <c r="J97" t="b">
        <v>0</v>
      </c>
      <c r="K97" t="b">
        <v>1</v>
      </c>
      <c r="L97" t="b">
        <v>1</v>
      </c>
      <c r="M97" t="b">
        <v>0</v>
      </c>
      <c r="N97" t="s">
        <v>509</v>
      </c>
    </row>
    <row r="98" spans="1:14">
      <c r="A98" s="1" t="s">
        <v>391</v>
      </c>
      <c r="B98" t="str">
        <f t="shared" ref="B98:B129" si="12">"FN_"&amp;A98</f>
        <v>FN_Manjulaben Thakkar</v>
      </c>
      <c r="C98" t="str">
        <f t="shared" ref="C98:C129" si="13">"MN_"&amp;A98</f>
        <v>MN_Manjulaben Thakkar</v>
      </c>
      <c r="D98" t="str">
        <f t="shared" ref="D98:D129" si="14">"LN_"&amp;A98</f>
        <v>LN_Manjulaben Thakkar</v>
      </c>
      <c r="E98" s="4">
        <v>9000000120</v>
      </c>
      <c r="F98" s="4">
        <v>8000000120</v>
      </c>
      <c r="G98" s="4" t="str">
        <f t="shared" ref="G98:G129" si="15">"PE"&amp;A98&amp;"@Ganeshmeradian.live"</f>
        <v>PEManjulaben Thakkar@Ganeshmeradian.live</v>
      </c>
      <c r="H98" s="4" t="e">
        <f>"AE" &amp;#REF! &amp; "@ganeshmeridian.live"</f>
        <v>#REF!</v>
      </c>
      <c r="I98" t="b">
        <v>1</v>
      </c>
      <c r="J98" t="b">
        <v>0</v>
      </c>
      <c r="K98" t="b">
        <v>1</v>
      </c>
      <c r="L98" t="b">
        <v>1</v>
      </c>
      <c r="M98" t="b">
        <v>0</v>
      </c>
      <c r="N98" t="s">
        <v>509</v>
      </c>
    </row>
    <row r="99" spans="1:14">
      <c r="A99" s="1" t="s">
        <v>160</v>
      </c>
      <c r="B99" t="str">
        <f t="shared" si="12"/>
        <v>FN_Shivraj Trade Mark Pvt Ltd</v>
      </c>
      <c r="C99" t="str">
        <f t="shared" si="13"/>
        <v>MN_Shivraj Trade Mark Pvt Ltd</v>
      </c>
      <c r="D99" t="str">
        <f t="shared" si="14"/>
        <v>LN_Shivraj Trade Mark Pvt Ltd</v>
      </c>
      <c r="E99" s="4">
        <v>9000000121</v>
      </c>
      <c r="F99" s="4">
        <v>8000000121</v>
      </c>
      <c r="G99" s="4" t="str">
        <f t="shared" si="15"/>
        <v>PEShivraj Trade Mark Pvt Ltd@Ganeshmeradian.live</v>
      </c>
      <c r="H99" s="4" t="e">
        <f>"AE" &amp;#REF! &amp; "@ganeshmeridian.live"</f>
        <v>#REF!</v>
      </c>
      <c r="I99" t="b">
        <v>1</v>
      </c>
      <c r="J99" t="b">
        <v>0</v>
      </c>
      <c r="K99" t="b">
        <v>1</v>
      </c>
      <c r="L99" t="b">
        <v>1</v>
      </c>
      <c r="M99" t="b">
        <v>0</v>
      </c>
      <c r="N99" t="s">
        <v>509</v>
      </c>
    </row>
    <row r="100" spans="1:14">
      <c r="A100" s="1" t="s">
        <v>416</v>
      </c>
      <c r="B100" t="str">
        <f t="shared" si="12"/>
        <v>FN_Satvam Nutrifoods</v>
      </c>
      <c r="C100" t="str">
        <f t="shared" si="13"/>
        <v>MN_Satvam Nutrifoods</v>
      </c>
      <c r="D100" t="str">
        <f t="shared" si="14"/>
        <v>LN_Satvam Nutrifoods</v>
      </c>
      <c r="E100" s="4">
        <v>9000000124</v>
      </c>
      <c r="F100" s="4">
        <v>8000000124</v>
      </c>
      <c r="G100" s="4" t="str">
        <f t="shared" si="15"/>
        <v>PESatvam Nutrifoods@Ganeshmeradian.live</v>
      </c>
      <c r="H100" s="4" t="e">
        <f>"AE" &amp;#REF! &amp; "@ganeshmeridian.live"</f>
        <v>#REF!</v>
      </c>
      <c r="I100" t="b">
        <v>1</v>
      </c>
      <c r="J100" t="b">
        <v>0</v>
      </c>
      <c r="K100" t="b">
        <v>1</v>
      </c>
      <c r="L100" t="b">
        <v>1</v>
      </c>
      <c r="M100" t="b">
        <v>0</v>
      </c>
      <c r="N100" t="s">
        <v>509</v>
      </c>
    </row>
    <row r="101" spans="1:14">
      <c r="A101" s="1" t="s">
        <v>352</v>
      </c>
      <c r="B101" t="str">
        <f t="shared" si="12"/>
        <v>FN_Dinesh Manoharlal Bhojwani</v>
      </c>
      <c r="C101" t="str">
        <f t="shared" si="13"/>
        <v>MN_Dinesh Manoharlal Bhojwani</v>
      </c>
      <c r="D101" t="str">
        <f t="shared" si="14"/>
        <v>LN_Dinesh Manoharlal Bhojwani</v>
      </c>
      <c r="E101" s="4">
        <v>9000000125</v>
      </c>
      <c r="F101" s="4">
        <v>8000000125</v>
      </c>
      <c r="G101" s="4" t="str">
        <f t="shared" si="15"/>
        <v>PEDinesh Manoharlal Bhojwani@Ganeshmeradian.live</v>
      </c>
      <c r="H101" s="4" t="e">
        <f>"AE" &amp;#REF! &amp; "@ganeshmeridian.live"</f>
        <v>#REF!</v>
      </c>
      <c r="I101" t="b">
        <v>1</v>
      </c>
      <c r="J101" t="b">
        <v>0</v>
      </c>
      <c r="K101" t="b">
        <v>1</v>
      </c>
      <c r="L101" t="b">
        <v>1</v>
      </c>
      <c r="M101" t="b">
        <v>0</v>
      </c>
      <c r="N101" t="s">
        <v>509</v>
      </c>
    </row>
    <row r="102" spans="1:14">
      <c r="A102" s="1" t="s">
        <v>348</v>
      </c>
      <c r="B102" t="str">
        <f t="shared" si="12"/>
        <v xml:space="preserve">FN_Vikram M Merani </v>
      </c>
      <c r="C102" t="str">
        <f t="shared" si="13"/>
        <v xml:space="preserve">MN_Vikram M Merani </v>
      </c>
      <c r="D102" t="str">
        <f t="shared" si="14"/>
        <v xml:space="preserve">LN_Vikram M Merani </v>
      </c>
      <c r="E102" s="4">
        <v>9000000128</v>
      </c>
      <c r="F102" s="4">
        <v>8000000128</v>
      </c>
      <c r="G102" s="4" t="str">
        <f t="shared" si="15"/>
        <v>PEVikram M Merani @Ganeshmeradian.live</v>
      </c>
      <c r="H102" s="4" t="e">
        <f>"AE" &amp;#REF! &amp; "@ganeshmeridian.live"</f>
        <v>#REF!</v>
      </c>
      <c r="I102" t="b">
        <v>1</v>
      </c>
      <c r="J102" t="b">
        <v>0</v>
      </c>
      <c r="K102" t="b">
        <v>1</v>
      </c>
      <c r="L102" t="b">
        <v>1</v>
      </c>
      <c r="M102" t="b">
        <v>0</v>
      </c>
      <c r="N102" t="s">
        <v>509</v>
      </c>
    </row>
    <row r="103" spans="1:14">
      <c r="A103" s="1" t="s">
        <v>191</v>
      </c>
      <c r="B103" t="str">
        <f t="shared" si="12"/>
        <v>FN_Dilipbhai Patel</v>
      </c>
      <c r="C103" t="str">
        <f t="shared" si="13"/>
        <v>MN_Dilipbhai Patel</v>
      </c>
      <c r="D103" t="str">
        <f t="shared" si="14"/>
        <v>LN_Dilipbhai Patel</v>
      </c>
      <c r="E103" s="4">
        <v>9000000129</v>
      </c>
      <c r="F103" s="4">
        <v>8000000129</v>
      </c>
      <c r="G103" s="4" t="str">
        <f t="shared" si="15"/>
        <v>PEDilipbhai Patel@Ganeshmeradian.live</v>
      </c>
      <c r="H103" s="4" t="e">
        <f>"AE" &amp;#REF! &amp; "@ganeshmeridian.live"</f>
        <v>#REF!</v>
      </c>
      <c r="I103" t="b">
        <v>1</v>
      </c>
      <c r="J103" t="b">
        <v>0</v>
      </c>
      <c r="K103" t="b">
        <v>1</v>
      </c>
      <c r="L103" t="b">
        <v>1</v>
      </c>
      <c r="M103" t="b">
        <v>0</v>
      </c>
      <c r="N103" t="s">
        <v>509</v>
      </c>
    </row>
    <row r="104" spans="1:14">
      <c r="A104" s="1" t="s">
        <v>238</v>
      </c>
      <c r="B104" t="str">
        <f t="shared" si="12"/>
        <v xml:space="preserve">FN_Darshan R Patel </v>
      </c>
      <c r="C104" t="str">
        <f t="shared" si="13"/>
        <v xml:space="preserve">MN_Darshan R Patel </v>
      </c>
      <c r="D104" t="str">
        <f t="shared" si="14"/>
        <v xml:space="preserve">LN_Darshan R Patel </v>
      </c>
      <c r="E104" s="4">
        <v>9000000131</v>
      </c>
      <c r="F104" s="4">
        <v>8000000131</v>
      </c>
      <c r="G104" s="4" t="str">
        <f t="shared" si="15"/>
        <v>PEDarshan R Patel @Ganeshmeradian.live</v>
      </c>
      <c r="H104" s="4" t="e">
        <f>"AE" &amp;#REF! &amp; "@ganeshmeridian.live"</f>
        <v>#REF!</v>
      </c>
      <c r="I104" t="b">
        <v>1</v>
      </c>
      <c r="J104" t="b">
        <v>0</v>
      </c>
      <c r="K104" t="b">
        <v>1</v>
      </c>
      <c r="L104" t="b">
        <v>1</v>
      </c>
      <c r="M104" t="b">
        <v>0</v>
      </c>
      <c r="N104" t="s">
        <v>509</v>
      </c>
    </row>
    <row r="105" spans="1:14">
      <c r="A105" s="1" t="s">
        <v>177</v>
      </c>
      <c r="B105" t="str">
        <f t="shared" si="12"/>
        <v>FN_Hansaben Amrutbhai Patel</v>
      </c>
      <c r="C105" t="str">
        <f t="shared" si="13"/>
        <v>MN_Hansaben Amrutbhai Patel</v>
      </c>
      <c r="D105" t="str">
        <f t="shared" si="14"/>
        <v>LN_Hansaben Amrutbhai Patel</v>
      </c>
      <c r="E105" s="4">
        <v>9000000132</v>
      </c>
      <c r="F105" s="4">
        <v>8000000132</v>
      </c>
      <c r="G105" s="4" t="str">
        <f t="shared" si="15"/>
        <v>PEHansaben Amrutbhai Patel@Ganeshmeradian.live</v>
      </c>
      <c r="H105" s="4" t="e">
        <f>"AE" &amp;#REF! &amp; "@ganeshmeridian.live"</f>
        <v>#REF!</v>
      </c>
      <c r="I105" t="b">
        <v>1</v>
      </c>
      <c r="J105" t="b">
        <v>0</v>
      </c>
      <c r="K105" t="b">
        <v>1</v>
      </c>
      <c r="L105" t="b">
        <v>1</v>
      </c>
      <c r="M105" t="b">
        <v>0</v>
      </c>
      <c r="N105" t="s">
        <v>509</v>
      </c>
    </row>
    <row r="106" spans="1:14">
      <c r="A106" s="1" t="s">
        <v>175</v>
      </c>
      <c r="B106" t="str">
        <f t="shared" si="12"/>
        <v>FN_Nirav Vishnubhai Patel</v>
      </c>
      <c r="C106" t="str">
        <f t="shared" si="13"/>
        <v>MN_Nirav Vishnubhai Patel</v>
      </c>
      <c r="D106" t="str">
        <f t="shared" si="14"/>
        <v>LN_Nirav Vishnubhai Patel</v>
      </c>
      <c r="E106" s="4">
        <v>9000000133</v>
      </c>
      <c r="F106" s="4">
        <v>8000000133</v>
      </c>
      <c r="G106" s="4" t="str">
        <f t="shared" si="15"/>
        <v>PENirav Vishnubhai Patel@Ganeshmeradian.live</v>
      </c>
      <c r="H106" s="4" t="e">
        <f>"AE" &amp;#REF! &amp; "@ganeshmeridian.live"</f>
        <v>#REF!</v>
      </c>
      <c r="I106" t="b">
        <v>1</v>
      </c>
      <c r="J106" t="b">
        <v>0</v>
      </c>
      <c r="K106" t="b">
        <v>1</v>
      </c>
      <c r="L106" t="b">
        <v>1</v>
      </c>
      <c r="M106" t="b">
        <v>0</v>
      </c>
      <c r="N106" t="s">
        <v>509</v>
      </c>
    </row>
    <row r="107" spans="1:14">
      <c r="A107" s="1" t="s">
        <v>117</v>
      </c>
      <c r="B107" t="str">
        <f t="shared" si="12"/>
        <v>FN_Kamlaben Patel</v>
      </c>
      <c r="C107" t="str">
        <f t="shared" si="13"/>
        <v>MN_Kamlaben Patel</v>
      </c>
      <c r="D107" t="str">
        <f t="shared" si="14"/>
        <v>LN_Kamlaben Patel</v>
      </c>
      <c r="E107" s="4">
        <v>9000000135</v>
      </c>
      <c r="F107" s="4">
        <v>8000000135</v>
      </c>
      <c r="G107" s="4" t="str">
        <f t="shared" si="15"/>
        <v>PEKamlaben Patel@Ganeshmeradian.live</v>
      </c>
      <c r="H107" s="4" t="e">
        <f>"AE" &amp;#REF! &amp; "@ganeshmeridian.live"</f>
        <v>#REF!</v>
      </c>
      <c r="I107" t="b">
        <v>1</v>
      </c>
      <c r="J107" t="b">
        <v>0</v>
      </c>
      <c r="K107" t="b">
        <v>1</v>
      </c>
      <c r="L107" t="b">
        <v>1</v>
      </c>
      <c r="M107" t="b">
        <v>0</v>
      </c>
      <c r="N107" t="s">
        <v>509</v>
      </c>
    </row>
    <row r="108" spans="1:14">
      <c r="A108" s="1" t="s">
        <v>203</v>
      </c>
      <c r="B108" t="str">
        <f t="shared" si="12"/>
        <v xml:space="preserve">FN_Vinod Chamanlal Vaishnavi </v>
      </c>
      <c r="C108" t="str">
        <f t="shared" si="13"/>
        <v xml:space="preserve">MN_Vinod Chamanlal Vaishnavi </v>
      </c>
      <c r="D108" t="str">
        <f t="shared" si="14"/>
        <v xml:space="preserve">LN_Vinod Chamanlal Vaishnavi </v>
      </c>
      <c r="E108" s="4">
        <v>9000000136</v>
      </c>
      <c r="F108" s="4">
        <v>8000000136</v>
      </c>
      <c r="G108" s="4" t="str">
        <f t="shared" si="15"/>
        <v>PEVinod Chamanlal Vaishnavi @Ganeshmeradian.live</v>
      </c>
      <c r="H108" s="4" t="e">
        <f>"AE" &amp;#REF! &amp; "@ganeshmeridian.live"</f>
        <v>#REF!</v>
      </c>
      <c r="I108" t="b">
        <v>1</v>
      </c>
      <c r="J108" t="b">
        <v>0</v>
      </c>
      <c r="K108" t="b">
        <v>1</v>
      </c>
      <c r="L108" t="b">
        <v>1</v>
      </c>
      <c r="M108" t="b">
        <v>0</v>
      </c>
      <c r="N108" t="s">
        <v>509</v>
      </c>
    </row>
    <row r="109" spans="1:14">
      <c r="A109" s="1" t="s">
        <v>150</v>
      </c>
      <c r="B109" t="str">
        <f t="shared" si="12"/>
        <v>FN_Nirav M Patel</v>
      </c>
      <c r="C109" t="str">
        <f t="shared" si="13"/>
        <v>MN_Nirav M Patel</v>
      </c>
      <c r="D109" t="str">
        <f t="shared" si="14"/>
        <v>LN_Nirav M Patel</v>
      </c>
      <c r="E109" s="4">
        <v>9000000137</v>
      </c>
      <c r="F109" s="4">
        <v>8000000137</v>
      </c>
      <c r="G109" s="4" t="str">
        <f t="shared" si="15"/>
        <v>PENirav M Patel@Ganeshmeradian.live</v>
      </c>
      <c r="H109" s="4" t="e">
        <f>"AE" &amp;#REF! &amp; "@ganeshmeridian.live"</f>
        <v>#REF!</v>
      </c>
      <c r="I109" t="b">
        <v>1</v>
      </c>
      <c r="J109" t="b">
        <v>0</v>
      </c>
      <c r="K109" t="b">
        <v>1</v>
      </c>
      <c r="L109" t="b">
        <v>1</v>
      </c>
      <c r="M109" t="b">
        <v>0</v>
      </c>
      <c r="N109" t="s">
        <v>509</v>
      </c>
    </row>
    <row r="110" spans="1:14">
      <c r="A110" s="1" t="s">
        <v>8</v>
      </c>
      <c r="B110" t="str">
        <f t="shared" si="12"/>
        <v>FN_JSIW Infrastructure P. Ltd</v>
      </c>
      <c r="C110" t="str">
        <f t="shared" si="13"/>
        <v>MN_JSIW Infrastructure P. Ltd</v>
      </c>
      <c r="D110" t="str">
        <f t="shared" si="14"/>
        <v>LN_JSIW Infrastructure P. Ltd</v>
      </c>
      <c r="E110" s="4">
        <v>9000000138</v>
      </c>
      <c r="F110" s="4">
        <v>8000000138</v>
      </c>
      <c r="G110" s="4" t="str">
        <f t="shared" si="15"/>
        <v>PEJSIW Infrastructure P. Ltd@Ganeshmeradian.live</v>
      </c>
      <c r="H110" s="4" t="e">
        <f>"AE" &amp;#REF! &amp; "@ganeshmeridian.live"</f>
        <v>#REF!</v>
      </c>
      <c r="I110" t="b">
        <v>1</v>
      </c>
      <c r="J110" t="b">
        <v>0</v>
      </c>
      <c r="K110" t="b">
        <v>1</v>
      </c>
      <c r="L110" t="b">
        <v>1</v>
      </c>
      <c r="M110" t="b">
        <v>0</v>
      </c>
      <c r="N110" t="s">
        <v>509</v>
      </c>
    </row>
    <row r="111" spans="1:14">
      <c r="A111" s="1" t="s">
        <v>333</v>
      </c>
      <c r="B111" t="str">
        <f t="shared" si="12"/>
        <v>FN_A-J Tarunkumar Virchand Shah Huf</v>
      </c>
      <c r="C111" t="str">
        <f t="shared" si="13"/>
        <v>MN_A-J Tarunkumar Virchand Shah Huf</v>
      </c>
      <c r="D111" t="str">
        <f t="shared" si="14"/>
        <v>LN_A-J Tarunkumar Virchand Shah Huf</v>
      </c>
      <c r="E111" s="4">
        <v>9000000139</v>
      </c>
      <c r="F111" s="4">
        <v>8000000139</v>
      </c>
      <c r="G111" s="4" t="str">
        <f t="shared" si="15"/>
        <v>PEA-J Tarunkumar Virchand Shah Huf@Ganeshmeradian.live</v>
      </c>
      <c r="H111" s="4" t="e">
        <f>"AE" &amp;#REF! &amp; "@ganeshmeridian.live"</f>
        <v>#REF!</v>
      </c>
      <c r="I111" t="b">
        <v>1</v>
      </c>
      <c r="J111" t="b">
        <v>0</v>
      </c>
      <c r="K111" t="b">
        <v>1</v>
      </c>
      <c r="L111" t="b">
        <v>1</v>
      </c>
      <c r="M111" t="b">
        <v>0</v>
      </c>
      <c r="N111" t="s">
        <v>509</v>
      </c>
    </row>
    <row r="112" spans="1:14">
      <c r="A112" s="1" t="s">
        <v>133</v>
      </c>
      <c r="B112" t="str">
        <f t="shared" si="12"/>
        <v xml:space="preserve">FN_Mr. Alpeshbhai Babubhai Patel </v>
      </c>
      <c r="C112" t="str">
        <f t="shared" si="13"/>
        <v xml:space="preserve">MN_Mr. Alpeshbhai Babubhai Patel </v>
      </c>
      <c r="D112" t="str">
        <f t="shared" si="14"/>
        <v xml:space="preserve">LN_Mr. Alpeshbhai Babubhai Patel </v>
      </c>
      <c r="E112" s="4">
        <v>9000000140</v>
      </c>
      <c r="F112" s="4">
        <v>8000000140</v>
      </c>
      <c r="G112" s="4" t="str">
        <f t="shared" si="15"/>
        <v>PEMr. Alpeshbhai Babubhai Patel @Ganeshmeradian.live</v>
      </c>
      <c r="H112" s="4" t="e">
        <f>"AE" &amp;#REF! &amp; "@ganeshmeridian.live"</f>
        <v>#REF!</v>
      </c>
      <c r="I112" t="b">
        <v>1</v>
      </c>
      <c r="J112" t="b">
        <v>0</v>
      </c>
      <c r="K112" t="b">
        <v>1</v>
      </c>
      <c r="L112" t="b">
        <v>1</v>
      </c>
      <c r="M112" t="b">
        <v>0</v>
      </c>
      <c r="N112" t="s">
        <v>509</v>
      </c>
    </row>
    <row r="113" spans="1:14">
      <c r="A113" s="1" t="s">
        <v>221</v>
      </c>
      <c r="B113" t="str">
        <f t="shared" si="12"/>
        <v>FN_Nisarg Jashwantbhai Patel</v>
      </c>
      <c r="C113" t="str">
        <f t="shared" si="13"/>
        <v>MN_Nisarg Jashwantbhai Patel</v>
      </c>
      <c r="D113" t="str">
        <f t="shared" si="14"/>
        <v>LN_Nisarg Jashwantbhai Patel</v>
      </c>
      <c r="E113" s="4">
        <v>9000000142</v>
      </c>
      <c r="F113" s="4">
        <v>8000000142</v>
      </c>
      <c r="G113" s="4" t="str">
        <f t="shared" si="15"/>
        <v>PENisarg Jashwantbhai Patel@Ganeshmeradian.live</v>
      </c>
      <c r="H113" s="4" t="e">
        <f>"AE" &amp;#REF! &amp; "@ganeshmeridian.live"</f>
        <v>#REF!</v>
      </c>
      <c r="I113" t="b">
        <v>1</v>
      </c>
      <c r="J113" t="b">
        <v>0</v>
      </c>
      <c r="K113" t="b">
        <v>1</v>
      </c>
      <c r="L113" t="b">
        <v>1</v>
      </c>
      <c r="M113" t="b">
        <v>0</v>
      </c>
      <c r="N113" t="s">
        <v>509</v>
      </c>
    </row>
    <row r="114" spans="1:14">
      <c r="A114" s="1" t="s">
        <v>40</v>
      </c>
      <c r="B114" t="str">
        <f t="shared" si="12"/>
        <v>FN_Manishaben Shah</v>
      </c>
      <c r="C114" t="str">
        <f t="shared" si="13"/>
        <v>MN_Manishaben Shah</v>
      </c>
      <c r="D114" t="str">
        <f t="shared" si="14"/>
        <v>LN_Manishaben Shah</v>
      </c>
      <c r="E114" s="4">
        <v>9000000143</v>
      </c>
      <c r="F114" s="4">
        <v>8000000143</v>
      </c>
      <c r="G114" s="4" t="str">
        <f t="shared" si="15"/>
        <v>PEManishaben Shah@Ganeshmeradian.live</v>
      </c>
      <c r="H114" s="4" t="e">
        <f>"AE" &amp;#REF! &amp; "@ganeshmeridian.live"</f>
        <v>#REF!</v>
      </c>
      <c r="I114" t="b">
        <v>1</v>
      </c>
      <c r="J114" t="b">
        <v>0</v>
      </c>
      <c r="K114" t="b">
        <v>1</v>
      </c>
      <c r="L114" t="b">
        <v>1</v>
      </c>
      <c r="M114" t="b">
        <v>0</v>
      </c>
      <c r="N114" t="s">
        <v>509</v>
      </c>
    </row>
    <row r="115" spans="1:14">
      <c r="A115" s="1" t="s">
        <v>199</v>
      </c>
      <c r="B115" t="str">
        <f t="shared" si="12"/>
        <v>FN_Maheshsingh Kushwah</v>
      </c>
      <c r="C115" t="str">
        <f t="shared" si="13"/>
        <v>MN_Maheshsingh Kushwah</v>
      </c>
      <c r="D115" t="str">
        <f t="shared" si="14"/>
        <v>LN_Maheshsingh Kushwah</v>
      </c>
      <c r="E115" s="4">
        <v>9000000148</v>
      </c>
      <c r="F115" s="4">
        <v>8000000148</v>
      </c>
      <c r="G115" s="4" t="str">
        <f t="shared" si="15"/>
        <v>PEMaheshsingh Kushwah@Ganeshmeradian.live</v>
      </c>
      <c r="H115" s="4" t="e">
        <f>"AE" &amp;#REF! &amp; "@ganeshmeridian.live"</f>
        <v>#REF!</v>
      </c>
      <c r="I115" t="b">
        <v>1</v>
      </c>
      <c r="J115" t="b">
        <v>0</v>
      </c>
      <c r="K115" t="b">
        <v>1</v>
      </c>
      <c r="L115" t="b">
        <v>1</v>
      </c>
      <c r="M115" t="b">
        <v>0</v>
      </c>
      <c r="N115" t="s">
        <v>509</v>
      </c>
    </row>
    <row r="116" spans="1:14">
      <c r="A116" s="1" t="s">
        <v>225</v>
      </c>
      <c r="B116" t="str">
        <f t="shared" si="12"/>
        <v>FN_Jayesh Jayantibhai Patel</v>
      </c>
      <c r="C116" t="str">
        <f t="shared" si="13"/>
        <v>MN_Jayesh Jayantibhai Patel</v>
      </c>
      <c r="D116" t="str">
        <f t="shared" si="14"/>
        <v>LN_Jayesh Jayantibhai Patel</v>
      </c>
      <c r="E116" s="4">
        <v>9000000149</v>
      </c>
      <c r="F116" s="4">
        <v>8000000149</v>
      </c>
      <c r="G116" s="4" t="str">
        <f t="shared" si="15"/>
        <v>PEJayesh Jayantibhai Patel@Ganeshmeradian.live</v>
      </c>
      <c r="H116" s="4" t="e">
        <f>"AE" &amp;#REF! &amp; "@ganeshmeridian.live"</f>
        <v>#REF!</v>
      </c>
      <c r="I116" t="b">
        <v>1</v>
      </c>
      <c r="J116" t="b">
        <v>0</v>
      </c>
      <c r="K116" t="b">
        <v>1</v>
      </c>
      <c r="L116" t="b">
        <v>1</v>
      </c>
      <c r="M116" t="b">
        <v>0</v>
      </c>
      <c r="N116" t="s">
        <v>509</v>
      </c>
    </row>
    <row r="117" spans="1:14">
      <c r="A117" s="1" t="s">
        <v>374</v>
      </c>
      <c r="B117" t="str">
        <f t="shared" si="12"/>
        <v>FN_Pradipkumar Gupta</v>
      </c>
      <c r="C117" t="str">
        <f t="shared" si="13"/>
        <v>MN_Pradipkumar Gupta</v>
      </c>
      <c r="D117" t="str">
        <f t="shared" si="14"/>
        <v>LN_Pradipkumar Gupta</v>
      </c>
      <c r="E117" s="4">
        <v>9000000151</v>
      </c>
      <c r="F117" s="4">
        <v>8000000151</v>
      </c>
      <c r="G117" s="4" t="str">
        <f t="shared" si="15"/>
        <v>PEPradipkumar Gupta@Ganeshmeradian.live</v>
      </c>
      <c r="H117" s="4" t="e">
        <f>"AE" &amp;#REF! &amp; "@ganeshmeridian.live"</f>
        <v>#REF!</v>
      </c>
      <c r="I117" t="b">
        <v>1</v>
      </c>
      <c r="J117" t="b">
        <v>0</v>
      </c>
      <c r="K117" t="b">
        <v>1</v>
      </c>
      <c r="L117" t="b">
        <v>1</v>
      </c>
      <c r="M117" t="b">
        <v>0</v>
      </c>
      <c r="N117" t="s">
        <v>509</v>
      </c>
    </row>
    <row r="118" spans="1:14">
      <c r="A118" s="1" t="s">
        <v>398</v>
      </c>
      <c r="B118" t="str">
        <f t="shared" si="12"/>
        <v>FN_Ravi Prakash Nandubhai Patel</v>
      </c>
      <c r="C118" t="str">
        <f t="shared" si="13"/>
        <v>MN_Ravi Prakash Nandubhai Patel</v>
      </c>
      <c r="D118" t="str">
        <f t="shared" si="14"/>
        <v>LN_Ravi Prakash Nandubhai Patel</v>
      </c>
      <c r="E118" s="4">
        <v>9000000153</v>
      </c>
      <c r="F118" s="4">
        <v>8000000153</v>
      </c>
      <c r="G118" s="4" t="str">
        <f t="shared" si="15"/>
        <v>PERavi Prakash Nandubhai Patel@Ganeshmeradian.live</v>
      </c>
      <c r="H118" s="4" t="e">
        <f>"AE" &amp;#REF! &amp; "@ganeshmeridian.live"</f>
        <v>#REF!</v>
      </c>
      <c r="I118" t="b">
        <v>1</v>
      </c>
      <c r="J118" t="b">
        <v>0</v>
      </c>
      <c r="K118" t="b">
        <v>1</v>
      </c>
      <c r="L118" t="b">
        <v>1</v>
      </c>
      <c r="M118" t="b">
        <v>0</v>
      </c>
      <c r="N118" t="s">
        <v>509</v>
      </c>
    </row>
    <row r="119" spans="1:14">
      <c r="A119" s="1" t="s">
        <v>215</v>
      </c>
      <c r="B119" t="str">
        <f t="shared" si="12"/>
        <v>FN_Diamond Infracom</v>
      </c>
      <c r="C119" t="str">
        <f t="shared" si="13"/>
        <v>MN_Diamond Infracom</v>
      </c>
      <c r="D119" t="str">
        <f t="shared" si="14"/>
        <v>LN_Diamond Infracom</v>
      </c>
      <c r="E119" s="4">
        <v>9000000158</v>
      </c>
      <c r="F119" s="4">
        <v>8000000158</v>
      </c>
      <c r="G119" s="4" t="str">
        <f t="shared" si="15"/>
        <v>PEDiamond Infracom@Ganeshmeradian.live</v>
      </c>
      <c r="H119" s="4" t="e">
        <f>"AE" &amp;#REF! &amp; "@ganeshmeridian.live"</f>
        <v>#REF!</v>
      </c>
      <c r="I119" t="b">
        <v>1</v>
      </c>
      <c r="J119" t="b">
        <v>0</v>
      </c>
      <c r="K119" t="b">
        <v>1</v>
      </c>
      <c r="L119" t="b">
        <v>1</v>
      </c>
      <c r="M119" t="b">
        <v>0</v>
      </c>
      <c r="N119" t="s">
        <v>509</v>
      </c>
    </row>
    <row r="120" spans="1:14">
      <c r="A120" s="1" t="s">
        <v>36</v>
      </c>
      <c r="B120" t="str">
        <f t="shared" si="12"/>
        <v>FN_Devashish Trivedi</v>
      </c>
      <c r="C120" t="str">
        <f t="shared" si="13"/>
        <v>MN_Devashish Trivedi</v>
      </c>
      <c r="D120" t="str">
        <f t="shared" si="14"/>
        <v>LN_Devashish Trivedi</v>
      </c>
      <c r="E120" s="4">
        <v>9000000159</v>
      </c>
      <c r="F120" s="4">
        <v>8000000159</v>
      </c>
      <c r="G120" s="4" t="str">
        <f t="shared" si="15"/>
        <v>PEDevashish Trivedi@Ganeshmeradian.live</v>
      </c>
      <c r="H120" s="4" t="e">
        <f>"AE" &amp;#REF! &amp; "@ganeshmeridian.live"</f>
        <v>#REF!</v>
      </c>
      <c r="I120" t="b">
        <v>1</v>
      </c>
      <c r="J120" t="b">
        <v>0</v>
      </c>
      <c r="K120" t="b">
        <v>1</v>
      </c>
      <c r="L120" t="b">
        <v>1</v>
      </c>
      <c r="M120" t="b">
        <v>0</v>
      </c>
      <c r="N120" t="s">
        <v>509</v>
      </c>
    </row>
    <row r="121" spans="1:14">
      <c r="A121" s="1" t="s">
        <v>376</v>
      </c>
      <c r="B121" t="str">
        <f t="shared" si="12"/>
        <v>FN_Meenu Pradip Gupta</v>
      </c>
      <c r="C121" t="str">
        <f t="shared" si="13"/>
        <v>MN_Meenu Pradip Gupta</v>
      </c>
      <c r="D121" t="str">
        <f t="shared" si="14"/>
        <v>LN_Meenu Pradip Gupta</v>
      </c>
      <c r="E121" s="4">
        <v>9000000160</v>
      </c>
      <c r="F121" s="4">
        <v>8000000160</v>
      </c>
      <c r="G121" s="4" t="str">
        <f t="shared" si="15"/>
        <v>PEMeenu Pradip Gupta@Ganeshmeradian.live</v>
      </c>
      <c r="H121" s="4" t="e">
        <f>"AE" &amp;#REF! &amp; "@ganeshmeridian.live"</f>
        <v>#REF!</v>
      </c>
      <c r="I121" t="b">
        <v>1</v>
      </c>
      <c r="J121" t="b">
        <v>0</v>
      </c>
      <c r="K121" t="b">
        <v>1</v>
      </c>
      <c r="L121" t="b">
        <v>1</v>
      </c>
      <c r="M121" t="b">
        <v>0</v>
      </c>
      <c r="N121" t="s">
        <v>509</v>
      </c>
    </row>
    <row r="122" spans="1:14">
      <c r="A122" s="1" t="s">
        <v>265</v>
      </c>
      <c r="B122" t="str">
        <f t="shared" si="12"/>
        <v>FN_Pratibhaben Ajaykumar Shah</v>
      </c>
      <c r="C122" t="str">
        <f t="shared" si="13"/>
        <v>MN_Pratibhaben Ajaykumar Shah</v>
      </c>
      <c r="D122" t="str">
        <f t="shared" si="14"/>
        <v>LN_Pratibhaben Ajaykumar Shah</v>
      </c>
      <c r="E122" s="4">
        <v>9000000163</v>
      </c>
      <c r="F122" s="4">
        <v>8000000163</v>
      </c>
      <c r="G122" s="4" t="str">
        <f t="shared" si="15"/>
        <v>PEPratibhaben Ajaykumar Shah@Ganeshmeradian.live</v>
      </c>
      <c r="H122" s="4" t="e">
        <f>"AE" &amp;#REF! &amp; "@ganeshmeridian.live"</f>
        <v>#REF!</v>
      </c>
      <c r="I122" t="b">
        <v>1</v>
      </c>
      <c r="J122" t="b">
        <v>0</v>
      </c>
      <c r="K122" t="b">
        <v>1</v>
      </c>
      <c r="L122" t="b">
        <v>1</v>
      </c>
      <c r="M122" t="b">
        <v>0</v>
      </c>
      <c r="N122" t="s">
        <v>509</v>
      </c>
    </row>
    <row r="123" spans="1:14">
      <c r="A123" s="1" t="s">
        <v>368</v>
      </c>
      <c r="B123" t="str">
        <f t="shared" si="12"/>
        <v>FN_Shardaben B Kavathiya</v>
      </c>
      <c r="C123" t="str">
        <f t="shared" si="13"/>
        <v>MN_Shardaben B Kavathiya</v>
      </c>
      <c r="D123" t="str">
        <f t="shared" si="14"/>
        <v>LN_Shardaben B Kavathiya</v>
      </c>
      <c r="E123" s="4">
        <v>9000000164</v>
      </c>
      <c r="F123" s="4">
        <v>8000000164</v>
      </c>
      <c r="G123" s="4" t="str">
        <f t="shared" si="15"/>
        <v>PEShardaben B Kavathiya@Ganeshmeradian.live</v>
      </c>
      <c r="H123" s="4" t="e">
        <f>"AE" &amp;#REF! &amp; "@ganeshmeridian.live"</f>
        <v>#REF!</v>
      </c>
      <c r="I123" t="b">
        <v>1</v>
      </c>
      <c r="J123" t="b">
        <v>0</v>
      </c>
      <c r="K123" t="b">
        <v>1</v>
      </c>
      <c r="L123" t="b">
        <v>1</v>
      </c>
      <c r="M123" t="b">
        <v>0</v>
      </c>
      <c r="N123" t="s">
        <v>509</v>
      </c>
    </row>
    <row r="124" spans="1:14">
      <c r="A124" s="1" t="s">
        <v>248</v>
      </c>
      <c r="B124" t="str">
        <f t="shared" si="12"/>
        <v>FN_Mithilesh Singh</v>
      </c>
      <c r="C124" t="str">
        <f t="shared" si="13"/>
        <v>MN_Mithilesh Singh</v>
      </c>
      <c r="D124" t="str">
        <f t="shared" si="14"/>
        <v>LN_Mithilesh Singh</v>
      </c>
      <c r="E124" s="4">
        <v>9000000167</v>
      </c>
      <c r="F124" s="4">
        <v>8000000167</v>
      </c>
      <c r="G124" s="4" t="str">
        <f t="shared" si="15"/>
        <v>PEMithilesh Singh@Ganeshmeradian.live</v>
      </c>
      <c r="H124" s="4" t="e">
        <f>"AE" &amp;#REF! &amp; "@ganeshmeridian.live"</f>
        <v>#REF!</v>
      </c>
      <c r="I124" t="b">
        <v>1</v>
      </c>
      <c r="J124" t="b">
        <v>0</v>
      </c>
      <c r="K124" t="b">
        <v>1</v>
      </c>
      <c r="L124" t="b">
        <v>1</v>
      </c>
      <c r="M124" t="b">
        <v>0</v>
      </c>
      <c r="N124" t="s">
        <v>509</v>
      </c>
    </row>
    <row r="125" spans="1:14">
      <c r="A125" s="1" t="s">
        <v>229</v>
      </c>
      <c r="B125" t="str">
        <f t="shared" si="12"/>
        <v>FN_Piyush N Shah</v>
      </c>
      <c r="C125" t="str">
        <f t="shared" si="13"/>
        <v>MN_Piyush N Shah</v>
      </c>
      <c r="D125" t="str">
        <f t="shared" si="14"/>
        <v>LN_Piyush N Shah</v>
      </c>
      <c r="E125" s="4">
        <v>9000000168</v>
      </c>
      <c r="F125" s="4">
        <v>8000000168</v>
      </c>
      <c r="G125" s="4" t="str">
        <f t="shared" si="15"/>
        <v>PEPiyush N Shah@Ganeshmeradian.live</v>
      </c>
      <c r="H125" s="4" t="e">
        <f>"AE" &amp;#REF! &amp; "@ganeshmeridian.live"</f>
        <v>#REF!</v>
      </c>
      <c r="I125" t="b">
        <v>1</v>
      </c>
      <c r="J125" t="b">
        <v>0</v>
      </c>
      <c r="K125" t="b">
        <v>1</v>
      </c>
      <c r="L125" t="b">
        <v>1</v>
      </c>
      <c r="M125" t="b">
        <v>0</v>
      </c>
      <c r="N125" t="s">
        <v>509</v>
      </c>
    </row>
    <row r="126" spans="1:14">
      <c r="A126" s="1" t="s">
        <v>430</v>
      </c>
      <c r="B126" t="str">
        <f t="shared" si="12"/>
        <v>FN_Rajkumar Patel</v>
      </c>
      <c r="C126" t="str">
        <f t="shared" si="13"/>
        <v>MN_Rajkumar Patel</v>
      </c>
      <c r="D126" t="str">
        <f t="shared" si="14"/>
        <v>LN_Rajkumar Patel</v>
      </c>
      <c r="E126" s="4">
        <v>9000000169</v>
      </c>
      <c r="F126" s="4">
        <v>8000000169</v>
      </c>
      <c r="G126" s="4" t="str">
        <f t="shared" si="15"/>
        <v>PERajkumar Patel@Ganeshmeradian.live</v>
      </c>
      <c r="H126" s="4" t="e">
        <f>"AE" &amp;#REF! &amp; "@ganeshmeridian.live"</f>
        <v>#REF!</v>
      </c>
      <c r="I126" t="b">
        <v>1</v>
      </c>
      <c r="J126" t="b">
        <v>0</v>
      </c>
      <c r="K126" t="b">
        <v>1</v>
      </c>
      <c r="L126" t="b">
        <v>1</v>
      </c>
      <c r="M126" t="b">
        <v>0</v>
      </c>
      <c r="N126" t="s">
        <v>509</v>
      </c>
    </row>
    <row r="127" spans="1:14">
      <c r="A127" s="1" t="s">
        <v>257</v>
      </c>
      <c r="B127" t="str">
        <f t="shared" si="12"/>
        <v>FN_Kanchanben Pukhraj Shah</v>
      </c>
      <c r="C127" t="str">
        <f t="shared" si="13"/>
        <v>MN_Kanchanben Pukhraj Shah</v>
      </c>
      <c r="D127" t="str">
        <f t="shared" si="14"/>
        <v>LN_Kanchanben Pukhraj Shah</v>
      </c>
      <c r="E127" s="4">
        <v>9000000170</v>
      </c>
      <c r="F127" s="4">
        <v>8000000170</v>
      </c>
      <c r="G127" s="4" t="str">
        <f t="shared" si="15"/>
        <v>PEKanchanben Pukhraj Shah@Ganeshmeradian.live</v>
      </c>
      <c r="H127" s="4" t="e">
        <f>"AE" &amp;#REF! &amp; "@ganeshmeridian.live"</f>
        <v>#REF!</v>
      </c>
      <c r="I127" t="b">
        <v>1</v>
      </c>
      <c r="J127" t="b">
        <v>0</v>
      </c>
      <c r="K127" t="b">
        <v>1</v>
      </c>
      <c r="L127" t="b">
        <v>1</v>
      </c>
      <c r="M127" t="b">
        <v>0</v>
      </c>
      <c r="N127" t="s">
        <v>509</v>
      </c>
    </row>
    <row r="128" spans="1:14">
      <c r="A128" s="1" t="s">
        <v>338</v>
      </c>
      <c r="B128" t="str">
        <f t="shared" si="12"/>
        <v>FN_KnAdminnsense Studios LLP</v>
      </c>
      <c r="C128" t="str">
        <f t="shared" si="13"/>
        <v>MN_KnAdminnsense Studios LLP</v>
      </c>
      <c r="D128" t="str">
        <f t="shared" si="14"/>
        <v>LN_KnAdminnsense Studios LLP</v>
      </c>
      <c r="E128" s="4">
        <v>9000000172</v>
      </c>
      <c r="F128" s="4">
        <v>8000000172</v>
      </c>
      <c r="G128" s="4" t="str">
        <f t="shared" si="15"/>
        <v>PEKnAdminnsense Studios LLP@Ganeshmeradian.live</v>
      </c>
      <c r="H128" s="4" t="e">
        <f>"AE" &amp;#REF! &amp; "@ganeshmeridian.live"</f>
        <v>#REF!</v>
      </c>
      <c r="I128" t="b">
        <v>1</v>
      </c>
      <c r="J128" t="b">
        <v>0</v>
      </c>
      <c r="K128" t="b">
        <v>1</v>
      </c>
      <c r="L128" t="b">
        <v>1</v>
      </c>
      <c r="M128" t="b">
        <v>0</v>
      </c>
      <c r="N128" t="s">
        <v>509</v>
      </c>
    </row>
    <row r="129" spans="1:14">
      <c r="A129" s="1" t="s">
        <v>329</v>
      </c>
      <c r="B129" t="str">
        <f t="shared" si="12"/>
        <v>FN_Monil Hasmukhbhai Parikh HUF</v>
      </c>
      <c r="C129" t="str">
        <f t="shared" si="13"/>
        <v>MN_Monil Hasmukhbhai Parikh HUF</v>
      </c>
      <c r="D129" t="str">
        <f t="shared" si="14"/>
        <v>LN_Monil Hasmukhbhai Parikh HUF</v>
      </c>
      <c r="E129" s="4">
        <v>9000000180</v>
      </c>
      <c r="F129" s="4">
        <v>8000000180</v>
      </c>
      <c r="G129" s="4" t="str">
        <f t="shared" si="15"/>
        <v>PEMonil Hasmukhbhai Parikh HUF@Ganeshmeradian.live</v>
      </c>
      <c r="H129" s="4" t="e">
        <f>"AE" &amp;#REF! &amp; "@ganeshmeridian.live"</f>
        <v>#REF!</v>
      </c>
      <c r="I129" t="b">
        <v>1</v>
      </c>
      <c r="J129" t="b">
        <v>0</v>
      </c>
      <c r="K129" t="b">
        <v>1</v>
      </c>
      <c r="L129" t="b">
        <v>1</v>
      </c>
      <c r="M129" t="b">
        <v>0</v>
      </c>
      <c r="N129" t="s">
        <v>509</v>
      </c>
    </row>
    <row r="130" spans="1:14">
      <c r="A130" s="1" t="s">
        <v>289</v>
      </c>
      <c r="B130" t="str">
        <f t="shared" ref="B130:B161" si="16">"FN_"&amp;A130</f>
        <v>FN_Ravindra Purshottamdas Patel</v>
      </c>
      <c r="C130" t="str">
        <f t="shared" ref="C130:C161" si="17">"MN_"&amp;A130</f>
        <v>MN_Ravindra Purshottamdas Patel</v>
      </c>
      <c r="D130" t="str">
        <f t="shared" ref="D130:D161" si="18">"LN_"&amp;A130</f>
        <v>LN_Ravindra Purshottamdas Patel</v>
      </c>
      <c r="E130" s="4">
        <v>9000000182</v>
      </c>
      <c r="F130" s="4">
        <v>8000000182</v>
      </c>
      <c r="G130" s="4" t="str">
        <f t="shared" ref="G130:G161" si="19">"PE"&amp;A130&amp;"@Ganeshmeradian.live"</f>
        <v>PERavindra Purshottamdas Patel@Ganeshmeradian.live</v>
      </c>
      <c r="H130" s="4" t="e">
        <f>"AE" &amp;#REF! &amp; "@ganeshmeridian.live"</f>
        <v>#REF!</v>
      </c>
      <c r="I130" t="b">
        <v>1</v>
      </c>
      <c r="J130" t="b">
        <v>0</v>
      </c>
      <c r="K130" t="b">
        <v>1</v>
      </c>
      <c r="L130" t="b">
        <v>1</v>
      </c>
      <c r="M130" t="b">
        <v>0</v>
      </c>
      <c r="N130" t="s">
        <v>509</v>
      </c>
    </row>
    <row r="131" spans="1:14">
      <c r="A131" s="1" t="s">
        <v>254</v>
      </c>
      <c r="B131" t="str">
        <f t="shared" si="16"/>
        <v>FN_Intelligent IT Hub Pvt Ltd</v>
      </c>
      <c r="C131" t="str">
        <f t="shared" si="17"/>
        <v>MN_Intelligent IT Hub Pvt Ltd</v>
      </c>
      <c r="D131" t="str">
        <f t="shared" si="18"/>
        <v>LN_Intelligent IT Hub Pvt Ltd</v>
      </c>
      <c r="E131" s="4">
        <v>9000000186</v>
      </c>
      <c r="F131" s="4">
        <v>8000000186</v>
      </c>
      <c r="G131" s="4" t="str">
        <f t="shared" si="19"/>
        <v>PEIntelligent IT Hub Pvt Ltd@Ganeshmeradian.live</v>
      </c>
      <c r="H131" s="4" t="e">
        <f>"AE" &amp;#REF! &amp; "@ganeshmeridian.live"</f>
        <v>#REF!</v>
      </c>
      <c r="I131" t="b">
        <v>1</v>
      </c>
      <c r="J131" t="b">
        <v>0</v>
      </c>
      <c r="K131" t="b">
        <v>1</v>
      </c>
      <c r="L131" t="b">
        <v>1</v>
      </c>
      <c r="M131" t="b">
        <v>0</v>
      </c>
      <c r="N131" t="s">
        <v>509</v>
      </c>
    </row>
    <row r="132" spans="1:14">
      <c r="A132" s="1" t="s">
        <v>404</v>
      </c>
      <c r="B132" t="str">
        <f t="shared" si="16"/>
        <v>FN_P.R. Patel&amp;Co.</v>
      </c>
      <c r="C132" t="str">
        <f t="shared" si="17"/>
        <v>MN_P.R. Patel&amp;Co.</v>
      </c>
      <c r="D132" t="str">
        <f t="shared" si="18"/>
        <v>LN_P.R. Patel&amp;Co.</v>
      </c>
      <c r="E132" s="4">
        <v>9000000187</v>
      </c>
      <c r="F132" s="4">
        <v>8000000187</v>
      </c>
      <c r="G132" s="4" t="str">
        <f t="shared" si="19"/>
        <v>PEP.R. Patel&amp;Co.@Ganeshmeradian.live</v>
      </c>
      <c r="H132" s="4" t="e">
        <f>"AE" &amp;#REF! &amp; "@ganeshmeridian.live"</f>
        <v>#REF!</v>
      </c>
      <c r="I132" t="b">
        <v>1</v>
      </c>
      <c r="J132" t="b">
        <v>0</v>
      </c>
      <c r="K132" t="b">
        <v>1</v>
      </c>
      <c r="L132" t="b">
        <v>1</v>
      </c>
      <c r="M132" t="b">
        <v>0</v>
      </c>
      <c r="N132" t="s">
        <v>509</v>
      </c>
    </row>
    <row r="133" spans="1:14">
      <c r="A133" s="1" t="s">
        <v>307</v>
      </c>
      <c r="B133" t="str">
        <f t="shared" si="16"/>
        <v>FN_Pranav Chandresh Patel</v>
      </c>
      <c r="C133" t="str">
        <f t="shared" si="17"/>
        <v>MN_Pranav Chandresh Patel</v>
      </c>
      <c r="D133" t="str">
        <f t="shared" si="18"/>
        <v>LN_Pranav Chandresh Patel</v>
      </c>
      <c r="E133" s="4">
        <v>9000000188</v>
      </c>
      <c r="F133" s="4">
        <v>8000000188</v>
      </c>
      <c r="G133" s="4" t="str">
        <f t="shared" si="19"/>
        <v>PEPranav Chandresh Patel@Ganeshmeradian.live</v>
      </c>
      <c r="H133" s="4" t="e">
        <f>"AE" &amp;#REF! &amp; "@ganeshmeridian.live"</f>
        <v>#REF!</v>
      </c>
      <c r="I133" t="b">
        <v>1</v>
      </c>
      <c r="J133" t="b">
        <v>0</v>
      </c>
      <c r="K133" t="b">
        <v>1</v>
      </c>
      <c r="L133" t="b">
        <v>1</v>
      </c>
      <c r="M133" t="b">
        <v>0</v>
      </c>
      <c r="N133" t="s">
        <v>509</v>
      </c>
    </row>
    <row r="134" spans="1:14">
      <c r="A134" s="1" t="s">
        <v>183</v>
      </c>
      <c r="B134" t="str">
        <f t="shared" si="16"/>
        <v>FN_Harsad Babulal Jani</v>
      </c>
      <c r="C134" t="str">
        <f t="shared" si="17"/>
        <v>MN_Harsad Babulal Jani</v>
      </c>
      <c r="D134" t="str">
        <f t="shared" si="18"/>
        <v>LN_Harsad Babulal Jani</v>
      </c>
      <c r="E134" s="4">
        <v>9000000189</v>
      </c>
      <c r="F134" s="4">
        <v>8000000189</v>
      </c>
      <c r="G134" s="4" t="str">
        <f t="shared" si="19"/>
        <v>PEHarsad Babulal Jani@Ganeshmeradian.live</v>
      </c>
      <c r="H134" s="4" t="e">
        <f>"AE" &amp;#REF! &amp; "@ganeshmeridian.live"</f>
        <v>#REF!</v>
      </c>
      <c r="I134" t="b">
        <v>1</v>
      </c>
      <c r="J134" t="b">
        <v>0</v>
      </c>
      <c r="K134" t="b">
        <v>1</v>
      </c>
      <c r="L134" t="b">
        <v>1</v>
      </c>
      <c r="M134" t="b">
        <v>0</v>
      </c>
      <c r="N134" t="s">
        <v>509</v>
      </c>
    </row>
    <row r="135" spans="1:14">
      <c r="A135" s="1" t="s">
        <v>163</v>
      </c>
      <c r="B135" t="str">
        <f t="shared" si="16"/>
        <v>FN_Gopiben R Patel</v>
      </c>
      <c r="C135" t="str">
        <f t="shared" si="17"/>
        <v>MN_Gopiben R Patel</v>
      </c>
      <c r="D135" t="str">
        <f t="shared" si="18"/>
        <v>LN_Gopiben R Patel</v>
      </c>
      <c r="E135" s="4">
        <v>9000000190</v>
      </c>
      <c r="F135" s="4">
        <v>8000000190</v>
      </c>
      <c r="G135" s="4" t="str">
        <f t="shared" si="19"/>
        <v>PEGopiben R Patel@Ganeshmeradian.live</v>
      </c>
      <c r="H135" s="4" t="e">
        <f>"AE" &amp;#REF! &amp; "@ganeshmeridian.live"</f>
        <v>#REF!</v>
      </c>
      <c r="I135" t="b">
        <v>1</v>
      </c>
      <c r="J135" t="b">
        <v>0</v>
      </c>
      <c r="K135" t="b">
        <v>1</v>
      </c>
      <c r="L135" t="b">
        <v>1</v>
      </c>
      <c r="M135" t="b">
        <v>0</v>
      </c>
      <c r="N135" t="s">
        <v>509</v>
      </c>
    </row>
    <row r="136" spans="1:14">
      <c r="A136" s="1" t="s">
        <v>261</v>
      </c>
      <c r="B136" t="str">
        <f t="shared" si="16"/>
        <v>FN_Gaurav Mehta</v>
      </c>
      <c r="C136" t="str">
        <f t="shared" si="17"/>
        <v>MN_Gaurav Mehta</v>
      </c>
      <c r="D136" t="str">
        <f t="shared" si="18"/>
        <v>LN_Gaurav Mehta</v>
      </c>
      <c r="E136" s="4">
        <v>9000000194</v>
      </c>
      <c r="F136" s="4">
        <v>8000000194</v>
      </c>
      <c r="G136" s="4" t="str">
        <f t="shared" si="19"/>
        <v>PEGaurav Mehta@Ganeshmeradian.live</v>
      </c>
      <c r="H136" s="4" t="e">
        <f>"AE" &amp;#REF! &amp; "@ganeshmeridian.live"</f>
        <v>#REF!</v>
      </c>
      <c r="I136" t="b">
        <v>1</v>
      </c>
      <c r="J136" t="b">
        <v>0</v>
      </c>
      <c r="K136" t="b">
        <v>1</v>
      </c>
      <c r="L136" t="b">
        <v>1</v>
      </c>
      <c r="M136" t="b">
        <v>0</v>
      </c>
      <c r="N136" t="s">
        <v>509</v>
      </c>
    </row>
    <row r="137" spans="1:14">
      <c r="A137" s="1" t="s">
        <v>287</v>
      </c>
      <c r="B137" t="str">
        <f t="shared" si="16"/>
        <v xml:space="preserve">FN_Nirmalaben B Ajara </v>
      </c>
      <c r="C137" t="str">
        <f t="shared" si="17"/>
        <v xml:space="preserve">MN_Nirmalaben B Ajara </v>
      </c>
      <c r="D137" t="str">
        <f t="shared" si="18"/>
        <v xml:space="preserve">LN_Nirmalaben B Ajara </v>
      </c>
      <c r="E137" s="4">
        <v>9000000196</v>
      </c>
      <c r="F137" s="4">
        <v>8000000196</v>
      </c>
      <c r="G137" s="4" t="str">
        <f t="shared" si="19"/>
        <v>PENirmalaben B Ajara @Ganeshmeradian.live</v>
      </c>
      <c r="H137" s="4" t="e">
        <f>"AE" &amp;#REF! &amp; "@ganeshmeridian.live"</f>
        <v>#REF!</v>
      </c>
      <c r="I137" t="b">
        <v>1</v>
      </c>
      <c r="J137" t="b">
        <v>0</v>
      </c>
      <c r="K137" t="b">
        <v>1</v>
      </c>
      <c r="L137" t="b">
        <v>1</v>
      </c>
      <c r="M137" t="b">
        <v>0</v>
      </c>
      <c r="N137" t="s">
        <v>509</v>
      </c>
    </row>
    <row r="138" spans="1:14">
      <c r="A138" s="1" t="s">
        <v>460</v>
      </c>
      <c r="B138" t="str">
        <f t="shared" si="16"/>
        <v>FN_Amit M Panchal</v>
      </c>
      <c r="C138" t="str">
        <f t="shared" si="17"/>
        <v>MN_Amit M Panchal</v>
      </c>
      <c r="D138" t="str">
        <f t="shared" si="18"/>
        <v>LN_Amit M Panchal</v>
      </c>
      <c r="E138" s="4">
        <v>9000000197</v>
      </c>
      <c r="F138" s="4">
        <v>8000000197</v>
      </c>
      <c r="G138" s="4" t="str">
        <f t="shared" si="19"/>
        <v>PEAmit M Panchal@Ganeshmeradian.live</v>
      </c>
      <c r="H138" s="4" t="e">
        <f>"AE" &amp;#REF! &amp; "@ganeshmeridian.live"</f>
        <v>#REF!</v>
      </c>
      <c r="I138" t="b">
        <v>1</v>
      </c>
      <c r="J138" t="b">
        <v>0</v>
      </c>
      <c r="K138" t="b">
        <v>1</v>
      </c>
      <c r="L138" t="b">
        <v>1</v>
      </c>
      <c r="M138" t="b">
        <v>0</v>
      </c>
      <c r="N138" t="s">
        <v>509</v>
      </c>
    </row>
    <row r="139" spans="1:14">
      <c r="A139" s="1" t="s">
        <v>219</v>
      </c>
      <c r="B139" t="str">
        <f t="shared" si="16"/>
        <v>FN_Vinodbhai Jagdishbhai Patel</v>
      </c>
      <c r="C139" t="str">
        <f t="shared" si="17"/>
        <v>MN_Vinodbhai Jagdishbhai Patel</v>
      </c>
      <c r="D139" t="str">
        <f t="shared" si="18"/>
        <v>LN_Vinodbhai Jagdishbhai Patel</v>
      </c>
      <c r="E139" s="4">
        <v>9000000199</v>
      </c>
      <c r="F139" s="4">
        <v>8000000199</v>
      </c>
      <c r="G139" s="4" t="str">
        <f t="shared" si="19"/>
        <v>PEVinodbhai Jagdishbhai Patel@Ganeshmeradian.live</v>
      </c>
      <c r="H139" s="4" t="e">
        <f>"AE" &amp;#REF! &amp; "@ganeshmeridian.live"</f>
        <v>#REF!</v>
      </c>
      <c r="I139" t="b">
        <v>1</v>
      </c>
      <c r="J139" t="b">
        <v>0</v>
      </c>
      <c r="K139" t="b">
        <v>1</v>
      </c>
      <c r="L139" t="b">
        <v>1</v>
      </c>
      <c r="M139" t="b">
        <v>0</v>
      </c>
      <c r="N139" t="s">
        <v>509</v>
      </c>
    </row>
    <row r="140" spans="1:14">
      <c r="A140" s="1" t="s">
        <v>402</v>
      </c>
      <c r="B140" t="str">
        <f t="shared" si="16"/>
        <v>FN_Shushil Shukla</v>
      </c>
      <c r="C140" t="str">
        <f t="shared" si="17"/>
        <v>MN_Shushil Shukla</v>
      </c>
      <c r="D140" t="str">
        <f t="shared" si="18"/>
        <v>LN_Shushil Shukla</v>
      </c>
      <c r="E140" s="4">
        <v>9000000200</v>
      </c>
      <c r="F140" s="4">
        <v>8000000200</v>
      </c>
      <c r="G140" s="4" t="str">
        <f t="shared" si="19"/>
        <v>PEShushil Shukla@Ganeshmeradian.live</v>
      </c>
      <c r="H140" s="4" t="e">
        <f>"AE" &amp;#REF! &amp; "@ganeshmeridian.live"</f>
        <v>#REF!</v>
      </c>
      <c r="I140" t="b">
        <v>1</v>
      </c>
      <c r="J140" t="b">
        <v>0</v>
      </c>
      <c r="K140" t="b">
        <v>1</v>
      </c>
      <c r="L140" t="b">
        <v>1</v>
      </c>
      <c r="M140" t="b">
        <v>0</v>
      </c>
      <c r="N140" t="s">
        <v>509</v>
      </c>
    </row>
    <row r="141" spans="1:14">
      <c r="A141" s="1" t="s">
        <v>362</v>
      </c>
      <c r="B141" t="str">
        <f t="shared" si="16"/>
        <v>FN_Sapphire Software Solutions</v>
      </c>
      <c r="C141" t="str">
        <f t="shared" si="17"/>
        <v>MN_Sapphire Software Solutions</v>
      </c>
      <c r="D141" t="str">
        <f t="shared" si="18"/>
        <v>LN_Sapphire Software Solutions</v>
      </c>
      <c r="E141" s="4">
        <v>9000000202</v>
      </c>
      <c r="F141" s="4">
        <v>8000000202</v>
      </c>
      <c r="G141" s="4" t="str">
        <f t="shared" si="19"/>
        <v>PESapphire Software Solutions@Ganeshmeradian.live</v>
      </c>
      <c r="H141" s="4" t="e">
        <f>"AE" &amp;#REF! &amp; "@ganeshmeridian.live"</f>
        <v>#REF!</v>
      </c>
      <c r="I141" t="b">
        <v>1</v>
      </c>
      <c r="J141" t="b">
        <v>0</v>
      </c>
      <c r="K141" t="b">
        <v>1</v>
      </c>
      <c r="L141" t="b">
        <v>1</v>
      </c>
      <c r="M141" t="b">
        <v>0</v>
      </c>
      <c r="N141" t="s">
        <v>509</v>
      </c>
    </row>
    <row r="142" spans="1:14">
      <c r="A142" s="1" t="s">
        <v>301</v>
      </c>
      <c r="B142" t="str">
        <f t="shared" si="16"/>
        <v>FN_Vinodbhai C Patel</v>
      </c>
      <c r="C142" t="str">
        <f t="shared" si="17"/>
        <v>MN_Vinodbhai C Patel</v>
      </c>
      <c r="D142" t="str">
        <f t="shared" si="18"/>
        <v>LN_Vinodbhai C Patel</v>
      </c>
      <c r="E142" s="4">
        <v>9000000204</v>
      </c>
      <c r="F142" s="4">
        <v>8000000204</v>
      </c>
      <c r="G142" s="4" t="str">
        <f t="shared" si="19"/>
        <v>PEVinodbhai C Patel@Ganeshmeradian.live</v>
      </c>
      <c r="H142" s="4" t="e">
        <f>"AE" &amp;#REF! &amp; "@ganeshmeridian.live"</f>
        <v>#REF!</v>
      </c>
      <c r="I142" t="b">
        <v>1</v>
      </c>
      <c r="J142" t="b">
        <v>0</v>
      </c>
      <c r="K142" t="b">
        <v>1</v>
      </c>
      <c r="L142" t="b">
        <v>1</v>
      </c>
      <c r="M142" t="b">
        <v>0</v>
      </c>
      <c r="N142" t="s">
        <v>509</v>
      </c>
    </row>
    <row r="143" spans="1:14">
      <c r="A143" s="1" t="s">
        <v>442</v>
      </c>
      <c r="B143" t="str">
        <f t="shared" si="16"/>
        <v xml:space="preserve">FN_Pravinbhai M Patel </v>
      </c>
      <c r="C143" t="str">
        <f t="shared" si="17"/>
        <v xml:space="preserve">MN_Pravinbhai M Patel </v>
      </c>
      <c r="D143" t="str">
        <f t="shared" si="18"/>
        <v xml:space="preserve">LN_Pravinbhai M Patel </v>
      </c>
      <c r="E143" s="4">
        <v>9000000205</v>
      </c>
      <c r="F143" s="4">
        <v>8000000205</v>
      </c>
      <c r="G143" s="4" t="str">
        <f t="shared" si="19"/>
        <v>PEPravinbhai M Patel @Ganeshmeradian.live</v>
      </c>
      <c r="H143" s="4" t="e">
        <f>"AE" &amp;#REF! &amp; "@ganeshmeridian.live"</f>
        <v>#REF!</v>
      </c>
      <c r="I143" t="b">
        <v>1</v>
      </c>
      <c r="J143" t="b">
        <v>0</v>
      </c>
      <c r="K143" t="b">
        <v>1</v>
      </c>
      <c r="L143" t="b">
        <v>1</v>
      </c>
      <c r="M143" t="b">
        <v>0</v>
      </c>
      <c r="N143" t="s">
        <v>509</v>
      </c>
    </row>
    <row r="144" spans="1:14">
      <c r="A144" s="1" t="s">
        <v>275</v>
      </c>
      <c r="B144" t="str">
        <f t="shared" si="16"/>
        <v>FN_Vijaykumar Girjaprasad Thaker HUF</v>
      </c>
      <c r="C144" t="str">
        <f t="shared" si="17"/>
        <v>MN_Vijaykumar Girjaprasad Thaker HUF</v>
      </c>
      <c r="D144" t="str">
        <f t="shared" si="18"/>
        <v>LN_Vijaykumar Girjaprasad Thaker HUF</v>
      </c>
      <c r="E144" s="4">
        <v>9000000206</v>
      </c>
      <c r="F144" s="4">
        <v>8000000206</v>
      </c>
      <c r="G144" s="4" t="str">
        <f t="shared" si="19"/>
        <v>PEVijaykumar Girjaprasad Thaker HUF@Ganeshmeradian.live</v>
      </c>
      <c r="H144" s="4" t="e">
        <f>"AE" &amp;#REF! &amp; "@ganeshmeridian.live"</f>
        <v>#REF!</v>
      </c>
      <c r="I144" t="b">
        <v>1</v>
      </c>
      <c r="J144" t="b">
        <v>0</v>
      </c>
      <c r="K144" t="b">
        <v>1</v>
      </c>
      <c r="L144" t="b">
        <v>1</v>
      </c>
      <c r="M144" t="b">
        <v>0</v>
      </c>
      <c r="N144" t="s">
        <v>509</v>
      </c>
    </row>
    <row r="145" spans="1:14">
      <c r="A145" s="1" t="s">
        <v>179</v>
      </c>
      <c r="B145" t="str">
        <f t="shared" si="16"/>
        <v>FN_M_S. Opulence Business Solutions Pvt Ltd</v>
      </c>
      <c r="C145" t="str">
        <f t="shared" si="17"/>
        <v>MN_M_S. Opulence Business Solutions Pvt Ltd</v>
      </c>
      <c r="D145" t="str">
        <f t="shared" si="18"/>
        <v>LN_M_S. Opulence Business Solutions Pvt Ltd</v>
      </c>
      <c r="E145" s="4">
        <v>9000000210</v>
      </c>
      <c r="F145" s="4">
        <v>8000000210</v>
      </c>
      <c r="G145" s="4" t="str">
        <f t="shared" si="19"/>
        <v>PEM_S. Opulence Business Solutions Pvt Ltd@Ganeshmeradian.live</v>
      </c>
      <c r="H145" s="4" t="e">
        <f>"AE" &amp;#REF! &amp; "@ganeshmeridian.live"</f>
        <v>#REF!</v>
      </c>
      <c r="I145" t="b">
        <v>1</v>
      </c>
      <c r="J145" t="b">
        <v>0</v>
      </c>
      <c r="K145" t="b">
        <v>1</v>
      </c>
      <c r="L145" t="b">
        <v>1</v>
      </c>
      <c r="M145" t="b">
        <v>0</v>
      </c>
      <c r="N145" t="s">
        <v>509</v>
      </c>
    </row>
    <row r="146" spans="1:14">
      <c r="A146" s="1" t="s">
        <v>169</v>
      </c>
      <c r="B146" t="str">
        <f t="shared" si="16"/>
        <v>FN_Ashaben V Darji</v>
      </c>
      <c r="C146" t="str">
        <f t="shared" si="17"/>
        <v>MN_Ashaben V Darji</v>
      </c>
      <c r="D146" t="str">
        <f t="shared" si="18"/>
        <v>LN_Ashaben V Darji</v>
      </c>
      <c r="E146" s="4">
        <v>9000000211</v>
      </c>
      <c r="F146" s="4">
        <v>8000000211</v>
      </c>
      <c r="G146" s="4" t="str">
        <f t="shared" si="19"/>
        <v>PEAshaben V Darji@Ganeshmeradian.live</v>
      </c>
      <c r="H146" s="4" t="e">
        <f>"AE" &amp;#REF! &amp; "@ganeshmeridian.live"</f>
        <v>#REF!</v>
      </c>
      <c r="I146" t="b">
        <v>1</v>
      </c>
      <c r="J146" t="b">
        <v>0</v>
      </c>
      <c r="K146" t="b">
        <v>1</v>
      </c>
      <c r="L146" t="b">
        <v>1</v>
      </c>
      <c r="M146" t="b">
        <v>0</v>
      </c>
      <c r="N146" t="s">
        <v>509</v>
      </c>
    </row>
    <row r="147" spans="1:14">
      <c r="A147" s="1" t="s">
        <v>309</v>
      </c>
      <c r="B147" t="str">
        <f t="shared" si="16"/>
        <v>FN_Hyperlink Info System C_o Harni</v>
      </c>
      <c r="C147" t="str">
        <f t="shared" si="17"/>
        <v>MN_Hyperlink Info System C_o Harni</v>
      </c>
      <c r="D147" t="str">
        <f t="shared" si="18"/>
        <v>LN_Hyperlink Info System C_o Harni</v>
      </c>
      <c r="E147" s="4">
        <v>9000000213</v>
      </c>
      <c r="F147" s="4">
        <v>8000000213</v>
      </c>
      <c r="G147" s="4" t="str">
        <f t="shared" si="19"/>
        <v>PEHyperlink Info System C_o Harni@Ganeshmeradian.live</v>
      </c>
      <c r="H147" s="4" t="e">
        <f>"AE" &amp;#REF! &amp; "@ganeshmeridian.live"</f>
        <v>#REF!</v>
      </c>
      <c r="I147" t="b">
        <v>1</v>
      </c>
      <c r="J147" t="b">
        <v>0</v>
      </c>
      <c r="K147" t="b">
        <v>1</v>
      </c>
      <c r="L147" t="b">
        <v>1</v>
      </c>
      <c r="M147" t="b">
        <v>0</v>
      </c>
      <c r="N147" t="s">
        <v>509</v>
      </c>
    </row>
    <row r="148" spans="1:14">
      <c r="A148" s="1" t="s">
        <v>432</v>
      </c>
      <c r="B148" t="str">
        <f t="shared" si="16"/>
        <v xml:space="preserve">FN_Maulik Dipakkumar Shah </v>
      </c>
      <c r="C148" t="str">
        <f t="shared" si="17"/>
        <v xml:space="preserve">MN_Maulik Dipakkumar Shah </v>
      </c>
      <c r="D148" t="str">
        <f t="shared" si="18"/>
        <v xml:space="preserve">LN_Maulik Dipakkumar Shah </v>
      </c>
      <c r="E148" s="4">
        <v>9000000214</v>
      </c>
      <c r="F148" s="4">
        <v>8000000214</v>
      </c>
      <c r="G148" s="4" t="str">
        <f t="shared" si="19"/>
        <v>PEMaulik Dipakkumar Shah @Ganeshmeradian.live</v>
      </c>
      <c r="H148" s="4" t="e">
        <f>"AE" &amp;#REF! &amp; "@ganeshmeridian.live"</f>
        <v>#REF!</v>
      </c>
      <c r="I148" t="b">
        <v>1</v>
      </c>
      <c r="J148" t="b">
        <v>0</v>
      </c>
      <c r="K148" t="b">
        <v>1</v>
      </c>
      <c r="L148" t="b">
        <v>1</v>
      </c>
      <c r="M148" t="b">
        <v>0</v>
      </c>
      <c r="N148" t="s">
        <v>509</v>
      </c>
    </row>
    <row r="149" spans="1:14">
      <c r="A149" s="1" t="s">
        <v>195</v>
      </c>
      <c r="B149" t="str">
        <f t="shared" si="16"/>
        <v>FN_Dev Chemicals</v>
      </c>
      <c r="C149" t="str">
        <f t="shared" si="17"/>
        <v>MN_Dev Chemicals</v>
      </c>
      <c r="D149" t="str">
        <f t="shared" si="18"/>
        <v>LN_Dev Chemicals</v>
      </c>
      <c r="E149" s="4">
        <v>9000000215</v>
      </c>
      <c r="F149" s="4">
        <v>8000000215</v>
      </c>
      <c r="G149" s="4" t="str">
        <f t="shared" si="19"/>
        <v>PEDev Chemicals@Ganeshmeradian.live</v>
      </c>
      <c r="H149" s="4" t="e">
        <f>"AE" &amp;#REF! &amp; "@ganeshmeridian.live"</f>
        <v>#REF!</v>
      </c>
      <c r="I149" t="b">
        <v>1</v>
      </c>
      <c r="J149" t="b">
        <v>0</v>
      </c>
      <c r="K149" t="b">
        <v>1</v>
      </c>
      <c r="L149" t="b">
        <v>1</v>
      </c>
      <c r="M149" t="b">
        <v>0</v>
      </c>
      <c r="N149" t="s">
        <v>509</v>
      </c>
    </row>
    <row r="150" spans="1:14">
      <c r="A150" s="1" t="s">
        <v>227</v>
      </c>
      <c r="B150" t="str">
        <f t="shared" si="16"/>
        <v>FN_Mit Rajendra Shah</v>
      </c>
      <c r="C150" t="str">
        <f t="shared" si="17"/>
        <v>MN_Mit Rajendra Shah</v>
      </c>
      <c r="D150" t="str">
        <f t="shared" si="18"/>
        <v>LN_Mit Rajendra Shah</v>
      </c>
      <c r="E150" s="4">
        <v>9000000216</v>
      </c>
      <c r="F150" s="4">
        <v>8000000216</v>
      </c>
      <c r="G150" s="4" t="str">
        <f t="shared" si="19"/>
        <v>PEMit Rajendra Shah@Ganeshmeradian.live</v>
      </c>
      <c r="H150" s="4" t="e">
        <f>"AE" &amp;#REF! &amp; "@ganeshmeridian.live"</f>
        <v>#REF!</v>
      </c>
      <c r="I150" t="b">
        <v>1</v>
      </c>
      <c r="J150" t="b">
        <v>0</v>
      </c>
      <c r="K150" t="b">
        <v>1</v>
      </c>
      <c r="L150" t="b">
        <v>1</v>
      </c>
      <c r="M150" t="b">
        <v>0</v>
      </c>
      <c r="N150" t="s">
        <v>509</v>
      </c>
    </row>
    <row r="151" spans="1:14">
      <c r="A151" s="1" t="s">
        <v>252</v>
      </c>
      <c r="B151" t="str">
        <f t="shared" si="16"/>
        <v xml:space="preserve">FN_Nilesh D Patel </v>
      </c>
      <c r="C151" t="str">
        <f t="shared" si="17"/>
        <v xml:space="preserve">MN_Nilesh D Patel </v>
      </c>
      <c r="D151" t="str">
        <f t="shared" si="18"/>
        <v xml:space="preserve">LN_Nilesh D Patel </v>
      </c>
      <c r="E151" s="4">
        <v>9000000217</v>
      </c>
      <c r="F151" s="4">
        <v>8000000217</v>
      </c>
      <c r="G151" s="4" t="str">
        <f t="shared" si="19"/>
        <v>PENilesh D Patel @Ganeshmeradian.live</v>
      </c>
      <c r="H151" s="4" t="e">
        <f>"AE" &amp;#REF! &amp; "@ganeshmeridian.live"</f>
        <v>#REF!</v>
      </c>
      <c r="I151" t="b">
        <v>1</v>
      </c>
      <c r="J151" t="b">
        <v>0</v>
      </c>
      <c r="K151" t="b">
        <v>1</v>
      </c>
      <c r="L151" t="b">
        <v>1</v>
      </c>
      <c r="M151" t="b">
        <v>0</v>
      </c>
      <c r="N151" t="s">
        <v>509</v>
      </c>
    </row>
    <row r="152" spans="1:14">
      <c r="A152" s="1" t="s">
        <v>311</v>
      </c>
      <c r="B152" t="str">
        <f t="shared" si="16"/>
        <v>FN_H.V. Infotech</v>
      </c>
      <c r="C152" t="str">
        <f t="shared" si="17"/>
        <v>MN_H.V. Infotech</v>
      </c>
      <c r="D152" t="str">
        <f t="shared" si="18"/>
        <v>LN_H.V. Infotech</v>
      </c>
      <c r="E152" s="4">
        <v>9000000218</v>
      </c>
      <c r="F152" s="4">
        <v>8000000218</v>
      </c>
      <c r="G152" s="4" t="str">
        <f t="shared" si="19"/>
        <v>PEH.V. Infotech@Ganeshmeradian.live</v>
      </c>
      <c r="H152" s="4" t="e">
        <f>"AE" &amp;#REF! &amp; "@ganeshmeridian.live"</f>
        <v>#REF!</v>
      </c>
      <c r="I152" t="b">
        <v>1</v>
      </c>
      <c r="J152" t="b">
        <v>0</v>
      </c>
      <c r="K152" t="b">
        <v>1</v>
      </c>
      <c r="L152" t="b">
        <v>1</v>
      </c>
      <c r="M152" t="b">
        <v>0</v>
      </c>
      <c r="N152" t="s">
        <v>509</v>
      </c>
    </row>
    <row r="153" spans="1:14">
      <c r="A153" s="1" t="s">
        <v>295</v>
      </c>
      <c r="B153" t="str">
        <f t="shared" si="16"/>
        <v>FN_Anshu Asthana</v>
      </c>
      <c r="C153" t="str">
        <f t="shared" si="17"/>
        <v>MN_Anshu Asthana</v>
      </c>
      <c r="D153" t="str">
        <f t="shared" si="18"/>
        <v>LN_Anshu Asthana</v>
      </c>
      <c r="E153" s="4">
        <v>9000000219</v>
      </c>
      <c r="F153" s="4">
        <v>8000000219</v>
      </c>
      <c r="G153" s="4" t="str">
        <f t="shared" si="19"/>
        <v>PEAnshu Asthana@Ganeshmeradian.live</v>
      </c>
      <c r="H153" s="4" t="e">
        <f>"AE" &amp;#REF! &amp; "@ganeshmeridian.live"</f>
        <v>#REF!</v>
      </c>
      <c r="I153" t="b">
        <v>1</v>
      </c>
      <c r="J153" t="b">
        <v>0</v>
      </c>
      <c r="K153" t="b">
        <v>1</v>
      </c>
      <c r="L153" t="b">
        <v>1</v>
      </c>
      <c r="M153" t="b">
        <v>0</v>
      </c>
      <c r="N153" t="s">
        <v>509</v>
      </c>
    </row>
    <row r="154" spans="1:14">
      <c r="A154" s="1" t="s">
        <v>455</v>
      </c>
      <c r="B154" t="str">
        <f t="shared" si="16"/>
        <v>FN_Dashrathbhai S Patel</v>
      </c>
      <c r="C154" t="str">
        <f t="shared" si="17"/>
        <v>MN_Dashrathbhai S Patel</v>
      </c>
      <c r="D154" t="str">
        <f t="shared" si="18"/>
        <v>LN_Dashrathbhai S Patel</v>
      </c>
      <c r="E154" s="4">
        <v>9000000223</v>
      </c>
      <c r="F154" s="4">
        <v>8000000223</v>
      </c>
      <c r="G154" s="4" t="str">
        <f t="shared" si="19"/>
        <v>PEDashrathbhai S Patel@Ganeshmeradian.live</v>
      </c>
      <c r="H154" s="4" t="e">
        <f>"AE" &amp;#REF! &amp; "@ganeshmeridian.live"</f>
        <v>#REF!</v>
      </c>
      <c r="I154" t="b">
        <v>1</v>
      </c>
      <c r="J154" t="b">
        <v>0</v>
      </c>
      <c r="K154" t="b">
        <v>1</v>
      </c>
      <c r="L154" t="b">
        <v>1</v>
      </c>
      <c r="M154" t="b">
        <v>0</v>
      </c>
      <c r="N154" t="s">
        <v>509</v>
      </c>
    </row>
    <row r="155" spans="1:14">
      <c r="A155" s="1" t="s">
        <v>418</v>
      </c>
      <c r="B155" t="str">
        <f t="shared" si="16"/>
        <v>FN_Sonalika Tractor</v>
      </c>
      <c r="C155" t="str">
        <f t="shared" si="17"/>
        <v>MN_Sonalika Tractor</v>
      </c>
      <c r="D155" t="str">
        <f t="shared" si="18"/>
        <v>LN_Sonalika Tractor</v>
      </c>
      <c r="E155" s="4">
        <v>9000000224</v>
      </c>
      <c r="F155" s="4">
        <v>8000000224</v>
      </c>
      <c r="G155" s="4" t="str">
        <f t="shared" si="19"/>
        <v>PESonalika Tractor@Ganeshmeradian.live</v>
      </c>
      <c r="H155" s="4" t="e">
        <f>"AE" &amp;#REF! &amp; "@ganeshmeridian.live"</f>
        <v>#REF!</v>
      </c>
      <c r="I155" t="b">
        <v>1</v>
      </c>
      <c r="J155" t="b">
        <v>0</v>
      </c>
      <c r="K155" t="b">
        <v>1</v>
      </c>
      <c r="L155" t="b">
        <v>1</v>
      </c>
      <c r="M155" t="b">
        <v>0</v>
      </c>
      <c r="N155" t="s">
        <v>509</v>
      </c>
    </row>
    <row r="156" spans="1:14">
      <c r="A156" s="1" t="s">
        <v>342</v>
      </c>
      <c r="B156" t="str">
        <f t="shared" si="16"/>
        <v>FN_Rathin Prakashbhai Raval</v>
      </c>
      <c r="C156" t="str">
        <f t="shared" si="17"/>
        <v>MN_Rathin Prakashbhai Raval</v>
      </c>
      <c r="D156" t="str">
        <f t="shared" si="18"/>
        <v>LN_Rathin Prakashbhai Raval</v>
      </c>
      <c r="E156" s="4">
        <v>9000000225</v>
      </c>
      <c r="F156" s="4">
        <v>8000000225</v>
      </c>
      <c r="G156" s="4" t="str">
        <f t="shared" si="19"/>
        <v>PERathin Prakashbhai Raval@Ganeshmeradian.live</v>
      </c>
      <c r="H156" s="4" t="e">
        <f>"AE" &amp;#REF! &amp; "@ganeshmeridian.live"</f>
        <v>#REF!</v>
      </c>
      <c r="I156" t="b">
        <v>1</v>
      </c>
      <c r="J156" t="b">
        <v>0</v>
      </c>
      <c r="K156" t="b">
        <v>1</v>
      </c>
      <c r="L156" t="b">
        <v>1</v>
      </c>
      <c r="M156" t="b">
        <v>0</v>
      </c>
      <c r="N156" t="s">
        <v>509</v>
      </c>
    </row>
    <row r="157" spans="1:14">
      <c r="A157" s="1" t="s">
        <v>422</v>
      </c>
      <c r="B157" t="str">
        <f t="shared" si="16"/>
        <v>FN_Apurva Rasikbhai Kapadia</v>
      </c>
      <c r="C157" t="str">
        <f t="shared" si="17"/>
        <v>MN_Apurva Rasikbhai Kapadia</v>
      </c>
      <c r="D157" t="str">
        <f t="shared" si="18"/>
        <v>LN_Apurva Rasikbhai Kapadia</v>
      </c>
      <c r="E157" s="4">
        <v>9000000228</v>
      </c>
      <c r="F157" s="4">
        <v>8000000228</v>
      </c>
      <c r="G157" s="4" t="str">
        <f t="shared" si="19"/>
        <v>PEApurva Rasikbhai Kapadia@Ganeshmeradian.live</v>
      </c>
      <c r="H157" s="4" t="e">
        <f>"AE" &amp;#REF! &amp; "@ganeshmeridian.live"</f>
        <v>#REF!</v>
      </c>
      <c r="I157" t="b">
        <v>1</v>
      </c>
      <c r="J157" t="b">
        <v>0</v>
      </c>
      <c r="K157" t="b">
        <v>1</v>
      </c>
      <c r="L157" t="b">
        <v>1</v>
      </c>
      <c r="M157" t="b">
        <v>0</v>
      </c>
      <c r="N157" t="s">
        <v>509</v>
      </c>
    </row>
    <row r="158" spans="1:14">
      <c r="A158" s="1" t="s">
        <v>207</v>
      </c>
      <c r="B158" t="str">
        <f t="shared" si="16"/>
        <v>FN_Ronak Manubhai Patel</v>
      </c>
      <c r="C158" t="str">
        <f t="shared" si="17"/>
        <v>MN_Ronak Manubhai Patel</v>
      </c>
      <c r="D158" t="str">
        <f t="shared" si="18"/>
        <v>LN_Ronak Manubhai Patel</v>
      </c>
      <c r="E158" s="4">
        <v>9000000229</v>
      </c>
      <c r="F158" s="4">
        <v>8000000229</v>
      </c>
      <c r="G158" s="4" t="str">
        <f t="shared" si="19"/>
        <v>PERonak Manubhai Patel@Ganeshmeradian.live</v>
      </c>
      <c r="H158" s="4" t="e">
        <f>"AE" &amp;#REF! &amp; "@ganeshmeridian.live"</f>
        <v>#REF!</v>
      </c>
      <c r="I158" t="b">
        <v>1</v>
      </c>
      <c r="J158" t="b">
        <v>0</v>
      </c>
      <c r="K158" t="b">
        <v>1</v>
      </c>
      <c r="L158" t="b">
        <v>1</v>
      </c>
      <c r="M158" t="b">
        <v>0</v>
      </c>
      <c r="N158" t="s">
        <v>509</v>
      </c>
    </row>
    <row r="159" spans="1:14">
      <c r="A159" s="1" t="s">
        <v>231</v>
      </c>
      <c r="B159" t="str">
        <f t="shared" si="16"/>
        <v>FN_Nitinbhai V Patel</v>
      </c>
      <c r="C159" t="str">
        <f t="shared" si="17"/>
        <v>MN_Nitinbhai V Patel</v>
      </c>
      <c r="D159" t="str">
        <f t="shared" si="18"/>
        <v>LN_Nitinbhai V Patel</v>
      </c>
      <c r="E159" s="4">
        <v>9000000232</v>
      </c>
      <c r="F159" s="4">
        <v>8000000232</v>
      </c>
      <c r="G159" s="4" t="str">
        <f t="shared" si="19"/>
        <v>PENitinbhai V Patel@Ganeshmeradian.live</v>
      </c>
      <c r="H159" s="4" t="e">
        <f>"AE" &amp;#REF! &amp; "@ganeshmeridian.live"</f>
        <v>#REF!</v>
      </c>
      <c r="I159" t="b">
        <v>1</v>
      </c>
      <c r="J159" t="b">
        <v>0</v>
      </c>
      <c r="K159" t="b">
        <v>1</v>
      </c>
      <c r="L159" t="b">
        <v>1</v>
      </c>
      <c r="M159" t="b">
        <v>0</v>
      </c>
      <c r="N159" t="s">
        <v>509</v>
      </c>
    </row>
    <row r="160" spans="1:14">
      <c r="A160" s="1" t="s">
        <v>244</v>
      </c>
      <c r="B160" t="str">
        <f t="shared" si="16"/>
        <v>FN_Poulami Pramod Patel</v>
      </c>
      <c r="C160" t="str">
        <f t="shared" si="17"/>
        <v>MN_Poulami Pramod Patel</v>
      </c>
      <c r="D160" t="str">
        <f t="shared" si="18"/>
        <v>LN_Poulami Pramod Patel</v>
      </c>
      <c r="E160" s="4">
        <v>9000000233</v>
      </c>
      <c r="F160" s="4">
        <v>8000000233</v>
      </c>
      <c r="G160" s="4" t="str">
        <f t="shared" si="19"/>
        <v>PEPoulami Pramod Patel@Ganeshmeradian.live</v>
      </c>
      <c r="H160" s="4" t="e">
        <f>"AE" &amp;#REF! &amp; "@ganeshmeridian.live"</f>
        <v>#REF!</v>
      </c>
      <c r="I160" t="b">
        <v>1</v>
      </c>
      <c r="J160" t="b">
        <v>0</v>
      </c>
      <c r="K160" t="b">
        <v>1</v>
      </c>
      <c r="L160" t="b">
        <v>1</v>
      </c>
      <c r="M160" t="b">
        <v>0</v>
      </c>
      <c r="N160" t="s">
        <v>509</v>
      </c>
    </row>
    <row r="161" spans="1:14">
      <c r="A161" s="1" t="s">
        <v>344</v>
      </c>
      <c r="B161" t="str">
        <f t="shared" si="16"/>
        <v>FN_Prafulla H Gehlot</v>
      </c>
      <c r="C161" t="str">
        <f t="shared" si="17"/>
        <v>MN_Prafulla H Gehlot</v>
      </c>
      <c r="D161" t="str">
        <f t="shared" si="18"/>
        <v>LN_Prafulla H Gehlot</v>
      </c>
      <c r="E161" s="4">
        <v>9000000234</v>
      </c>
      <c r="F161" s="4">
        <v>8000000234</v>
      </c>
      <c r="G161" s="4" t="str">
        <f t="shared" si="19"/>
        <v>PEPrafulla H Gehlot@Ganeshmeradian.live</v>
      </c>
      <c r="H161" s="4" t="e">
        <f>"AE" &amp;#REF! &amp; "@ganeshmeridian.live"</f>
        <v>#REF!</v>
      </c>
      <c r="I161" t="b">
        <v>1</v>
      </c>
      <c r="J161" t="b">
        <v>0</v>
      </c>
      <c r="K161" t="b">
        <v>1</v>
      </c>
      <c r="L161" t="b">
        <v>1</v>
      </c>
      <c r="M161" t="b">
        <v>0</v>
      </c>
      <c r="N161" t="s">
        <v>509</v>
      </c>
    </row>
    <row r="162" spans="1:14">
      <c r="A162" s="1" t="s">
        <v>187</v>
      </c>
      <c r="B162" t="str">
        <f t="shared" ref="B162:B187" si="20">"FN_"&amp;A162</f>
        <v xml:space="preserve">FN_Sanjay Revaram Trivedi </v>
      </c>
      <c r="C162" t="str">
        <f t="shared" ref="C162:C187" si="21">"MN_"&amp;A162</f>
        <v xml:space="preserve">MN_Sanjay Revaram Trivedi </v>
      </c>
      <c r="D162" t="str">
        <f t="shared" ref="D162:D187" si="22">"LN_"&amp;A162</f>
        <v xml:space="preserve">LN_Sanjay Revaram Trivedi </v>
      </c>
      <c r="E162" s="4">
        <v>9000000235</v>
      </c>
      <c r="F162" s="4">
        <v>8000000235</v>
      </c>
      <c r="G162" s="4" t="str">
        <f t="shared" ref="G162:G187" si="23">"PE"&amp;A162&amp;"@Ganeshmeradian.live"</f>
        <v>PESanjay Revaram Trivedi @Ganeshmeradian.live</v>
      </c>
      <c r="H162" s="4" t="e">
        <f>"AE" &amp;#REF! &amp; "@ganeshmeridian.live"</f>
        <v>#REF!</v>
      </c>
      <c r="I162" t="b">
        <v>1</v>
      </c>
      <c r="J162" t="b">
        <v>0</v>
      </c>
      <c r="K162" t="b">
        <v>1</v>
      </c>
      <c r="L162" t="b">
        <v>1</v>
      </c>
      <c r="M162" t="b">
        <v>0</v>
      </c>
      <c r="N162" t="s">
        <v>509</v>
      </c>
    </row>
    <row r="163" spans="1:14">
      <c r="A163" s="1" t="s">
        <v>125</v>
      </c>
      <c r="B163" t="str">
        <f t="shared" si="20"/>
        <v xml:space="preserve">FN_Hasmukhlal K Thakkar </v>
      </c>
      <c r="C163" t="str">
        <f t="shared" si="21"/>
        <v xml:space="preserve">MN_Hasmukhlal K Thakkar </v>
      </c>
      <c r="D163" t="str">
        <f t="shared" si="22"/>
        <v xml:space="preserve">LN_Hasmukhlal K Thakkar </v>
      </c>
      <c r="E163" s="4">
        <v>9000000236</v>
      </c>
      <c r="F163" s="4">
        <v>8000000236</v>
      </c>
      <c r="G163" s="4" t="str">
        <f t="shared" si="23"/>
        <v>PEHasmukhlal K Thakkar @Ganeshmeradian.live</v>
      </c>
      <c r="H163" s="4" t="e">
        <f>"AE" &amp;#REF! &amp; "@ganeshmeridian.live"</f>
        <v>#REF!</v>
      </c>
      <c r="I163" t="b">
        <v>1</v>
      </c>
      <c r="J163" t="b">
        <v>0</v>
      </c>
      <c r="K163" t="b">
        <v>1</v>
      </c>
      <c r="L163" t="b">
        <v>1</v>
      </c>
      <c r="M163" t="b">
        <v>0</v>
      </c>
      <c r="N163" t="s">
        <v>509</v>
      </c>
    </row>
    <row r="164" spans="1:14">
      <c r="A164" s="1" t="s">
        <v>450</v>
      </c>
      <c r="B164" t="str">
        <f t="shared" si="20"/>
        <v>FN_Devang Vyas</v>
      </c>
      <c r="C164" t="str">
        <f t="shared" si="21"/>
        <v>MN_Devang Vyas</v>
      </c>
      <c r="D164" t="str">
        <f t="shared" si="22"/>
        <v>LN_Devang Vyas</v>
      </c>
      <c r="E164" s="4">
        <v>9000000237</v>
      </c>
      <c r="F164" s="4">
        <v>8000000237</v>
      </c>
      <c r="G164" s="4" t="str">
        <f t="shared" si="23"/>
        <v>PEDevang Vyas@Ganeshmeradian.live</v>
      </c>
      <c r="H164" s="4" t="e">
        <f>"AE" &amp;#REF! &amp; "@ganeshmeridian.live"</f>
        <v>#REF!</v>
      </c>
      <c r="I164" t="b">
        <v>1</v>
      </c>
      <c r="J164" t="b">
        <v>0</v>
      </c>
      <c r="K164" t="b">
        <v>1</v>
      </c>
      <c r="L164" t="b">
        <v>1</v>
      </c>
      <c r="M164" t="b">
        <v>0</v>
      </c>
      <c r="N164" t="s">
        <v>509</v>
      </c>
    </row>
    <row r="165" spans="1:14">
      <c r="A165" s="1" t="s">
        <v>269</v>
      </c>
      <c r="B165" t="str">
        <f t="shared" si="20"/>
        <v>FN_Parasben J Rao</v>
      </c>
      <c r="C165" t="str">
        <f t="shared" si="21"/>
        <v>MN_Parasben J Rao</v>
      </c>
      <c r="D165" t="str">
        <f t="shared" si="22"/>
        <v>LN_Parasben J Rao</v>
      </c>
      <c r="E165" s="4">
        <v>9000000239</v>
      </c>
      <c r="F165" s="4">
        <v>8000000239</v>
      </c>
      <c r="G165" s="4" t="str">
        <f t="shared" si="23"/>
        <v>PEParasben J Rao@Ganeshmeradian.live</v>
      </c>
      <c r="H165" s="4" t="e">
        <f>"AE" &amp;#REF! &amp; "@ganeshmeridian.live"</f>
        <v>#REF!</v>
      </c>
      <c r="I165" t="b">
        <v>1</v>
      </c>
      <c r="J165" t="b">
        <v>0</v>
      </c>
      <c r="K165" t="b">
        <v>1</v>
      </c>
      <c r="L165" t="b">
        <v>1</v>
      </c>
      <c r="M165" t="b">
        <v>0</v>
      </c>
      <c r="N165" t="s">
        <v>509</v>
      </c>
    </row>
    <row r="166" spans="1:14">
      <c r="A166" s="1" t="s">
        <v>315</v>
      </c>
      <c r="B166" t="str">
        <f t="shared" si="20"/>
        <v xml:space="preserve">FN_Ashishkumar B Patel </v>
      </c>
      <c r="C166" t="str">
        <f t="shared" si="21"/>
        <v xml:space="preserve">MN_Ashishkumar B Patel </v>
      </c>
      <c r="D166" t="str">
        <f t="shared" si="22"/>
        <v xml:space="preserve">LN_Ashishkumar B Patel </v>
      </c>
      <c r="E166" s="4">
        <v>9000000241</v>
      </c>
      <c r="F166" s="4">
        <v>8000000241</v>
      </c>
      <c r="G166" s="4" t="str">
        <f t="shared" si="23"/>
        <v>PEAshishkumar B Patel @Ganeshmeradian.live</v>
      </c>
      <c r="H166" s="4" t="e">
        <f>"AE" &amp;#REF! &amp; "@ganeshmeridian.live"</f>
        <v>#REF!</v>
      </c>
      <c r="I166" t="b">
        <v>1</v>
      </c>
      <c r="J166" t="b">
        <v>0</v>
      </c>
      <c r="K166" t="b">
        <v>1</v>
      </c>
      <c r="L166" t="b">
        <v>1</v>
      </c>
      <c r="M166" t="b">
        <v>0</v>
      </c>
      <c r="N166" t="s">
        <v>509</v>
      </c>
    </row>
    <row r="167" spans="1:14">
      <c r="A167" s="1" t="s">
        <v>271</v>
      </c>
      <c r="B167" t="str">
        <f t="shared" si="20"/>
        <v>FN_Jigneshbhai I Barot</v>
      </c>
      <c r="C167" t="str">
        <f t="shared" si="21"/>
        <v>MN_Jigneshbhai I Barot</v>
      </c>
      <c r="D167" t="str">
        <f t="shared" si="22"/>
        <v>LN_Jigneshbhai I Barot</v>
      </c>
      <c r="E167" s="4">
        <v>9000000242</v>
      </c>
      <c r="F167" s="4">
        <v>8000000242</v>
      </c>
      <c r="G167" s="4" t="str">
        <f t="shared" si="23"/>
        <v>PEJigneshbhai I Barot@Ganeshmeradian.live</v>
      </c>
      <c r="H167" s="4" t="e">
        <f>"AE" &amp;#REF! &amp; "@ganeshmeridian.live"</f>
        <v>#REF!</v>
      </c>
      <c r="I167" t="b">
        <v>1</v>
      </c>
      <c r="J167" t="b">
        <v>0</v>
      </c>
      <c r="K167" t="b">
        <v>1</v>
      </c>
      <c r="L167" t="b">
        <v>1</v>
      </c>
      <c r="M167" t="b">
        <v>0</v>
      </c>
      <c r="N167" t="s">
        <v>509</v>
      </c>
    </row>
    <row r="168" spans="1:14">
      <c r="A168" s="1" t="s">
        <v>189</v>
      </c>
      <c r="B168" t="str">
        <f t="shared" si="20"/>
        <v>FN_Macgray Solutions Pvt Ltd</v>
      </c>
      <c r="C168" t="str">
        <f t="shared" si="21"/>
        <v>MN_Macgray Solutions Pvt Ltd</v>
      </c>
      <c r="D168" t="str">
        <f t="shared" si="22"/>
        <v>LN_Macgray Solutions Pvt Ltd</v>
      </c>
      <c r="E168" s="4">
        <v>9000000243</v>
      </c>
      <c r="F168" s="4">
        <v>8000000243</v>
      </c>
      <c r="G168" s="4" t="str">
        <f t="shared" si="23"/>
        <v>PEMacgray Solutions Pvt Ltd@Ganeshmeradian.live</v>
      </c>
      <c r="H168" s="4" t="e">
        <f>"AE" &amp;#REF! &amp; "@ganeshmeridian.live"</f>
        <v>#REF!</v>
      </c>
      <c r="I168" t="b">
        <v>1</v>
      </c>
      <c r="J168" t="b">
        <v>0</v>
      </c>
      <c r="K168" t="b">
        <v>1</v>
      </c>
      <c r="L168" t="b">
        <v>1</v>
      </c>
      <c r="M168" t="b">
        <v>0</v>
      </c>
      <c r="N168" t="s">
        <v>509</v>
      </c>
    </row>
    <row r="169" spans="1:14">
      <c r="A169" s="1" t="s">
        <v>173</v>
      </c>
      <c r="B169" t="str">
        <f t="shared" si="20"/>
        <v>FN_Vardayni Organics</v>
      </c>
      <c r="C169" t="str">
        <f t="shared" si="21"/>
        <v>MN_Vardayni Organics</v>
      </c>
      <c r="D169" t="str">
        <f t="shared" si="22"/>
        <v>LN_Vardayni Organics</v>
      </c>
      <c r="E169" s="4">
        <v>9000000245</v>
      </c>
      <c r="F169" s="4">
        <v>8000000245</v>
      </c>
      <c r="G169" s="4" t="str">
        <f t="shared" si="23"/>
        <v>PEVardayni Organics@Ganeshmeradian.live</v>
      </c>
      <c r="H169" s="4" t="e">
        <f>"AE" &amp;#REF! &amp; "@ganeshmeridian.live"</f>
        <v>#REF!</v>
      </c>
      <c r="I169" t="b">
        <v>1</v>
      </c>
      <c r="J169" t="b">
        <v>0</v>
      </c>
      <c r="K169" t="b">
        <v>1</v>
      </c>
      <c r="L169" t="b">
        <v>1</v>
      </c>
      <c r="M169" t="b">
        <v>0</v>
      </c>
      <c r="N169" t="s">
        <v>509</v>
      </c>
    </row>
    <row r="170" spans="1:14">
      <c r="A170" s="1" t="s">
        <v>414</v>
      </c>
      <c r="B170" t="str">
        <f t="shared" si="20"/>
        <v>FN_Dashrathbhai K Patel</v>
      </c>
      <c r="C170" t="str">
        <f t="shared" si="21"/>
        <v>MN_Dashrathbhai K Patel</v>
      </c>
      <c r="D170" t="str">
        <f t="shared" si="22"/>
        <v>LN_Dashrathbhai K Patel</v>
      </c>
      <c r="E170" s="4">
        <v>9000000248</v>
      </c>
      <c r="F170" s="4">
        <v>8000000248</v>
      </c>
      <c r="G170" s="4" t="str">
        <f t="shared" si="23"/>
        <v>PEDashrathbhai K Patel@Ganeshmeradian.live</v>
      </c>
      <c r="H170" s="4" t="e">
        <f>"AE" &amp;#REF! &amp; "@ganeshmeridian.live"</f>
        <v>#REF!</v>
      </c>
      <c r="I170" t="b">
        <v>1</v>
      </c>
      <c r="J170" t="b">
        <v>0</v>
      </c>
      <c r="K170" t="b">
        <v>1</v>
      </c>
      <c r="L170" t="b">
        <v>1</v>
      </c>
      <c r="M170" t="b">
        <v>0</v>
      </c>
      <c r="N170" t="s">
        <v>509</v>
      </c>
    </row>
    <row r="171" spans="1:14">
      <c r="A171" s="1" t="s">
        <v>259</v>
      </c>
      <c r="B171" t="str">
        <f t="shared" si="20"/>
        <v>FN_Priyank N Gandhi</v>
      </c>
      <c r="C171" t="str">
        <f t="shared" si="21"/>
        <v>MN_Priyank N Gandhi</v>
      </c>
      <c r="D171" t="str">
        <f t="shared" si="22"/>
        <v>LN_Priyank N Gandhi</v>
      </c>
      <c r="E171" s="4">
        <v>9000000249</v>
      </c>
      <c r="F171" s="4">
        <v>8000000249</v>
      </c>
      <c r="G171" s="4" t="str">
        <f t="shared" si="23"/>
        <v>PEPriyank N Gandhi@Ganeshmeradian.live</v>
      </c>
      <c r="H171" s="4" t="e">
        <f>"AE" &amp;#REF! &amp; "@ganeshmeridian.live"</f>
        <v>#REF!</v>
      </c>
      <c r="I171" t="b">
        <v>1</v>
      </c>
      <c r="J171" t="b">
        <v>0</v>
      </c>
      <c r="K171" t="b">
        <v>1</v>
      </c>
      <c r="L171" t="b">
        <v>1</v>
      </c>
      <c r="M171" t="b">
        <v>0</v>
      </c>
      <c r="N171" t="s">
        <v>509</v>
      </c>
    </row>
    <row r="172" spans="1:14">
      <c r="A172" s="1" t="s">
        <v>293</v>
      </c>
      <c r="B172" t="str">
        <f t="shared" si="20"/>
        <v>FN_SOAR Technologies</v>
      </c>
      <c r="C172" t="str">
        <f t="shared" si="21"/>
        <v>MN_SOAR Technologies</v>
      </c>
      <c r="D172" t="str">
        <f t="shared" si="22"/>
        <v>LN_SOAR Technologies</v>
      </c>
      <c r="E172" s="4">
        <v>9000000250</v>
      </c>
      <c r="F172" s="4">
        <v>8000000250</v>
      </c>
      <c r="G172" s="4" t="str">
        <f t="shared" si="23"/>
        <v>PESOAR Technologies@Ganeshmeradian.live</v>
      </c>
      <c r="H172" s="4" t="e">
        <f>"AE" &amp;#REF! &amp; "@ganeshmeridian.live"</f>
        <v>#REF!</v>
      </c>
      <c r="I172" t="b">
        <v>1</v>
      </c>
      <c r="J172" t="b">
        <v>0</v>
      </c>
      <c r="K172" t="b">
        <v>1</v>
      </c>
      <c r="L172" t="b">
        <v>1</v>
      </c>
      <c r="M172" t="b">
        <v>0</v>
      </c>
      <c r="N172" t="s">
        <v>509</v>
      </c>
    </row>
    <row r="173" spans="1:14">
      <c r="A173" s="1" t="s">
        <v>246</v>
      </c>
      <c r="B173" t="str">
        <f t="shared" si="20"/>
        <v xml:space="preserve">FN_Dipalbhai G Nakrani </v>
      </c>
      <c r="C173" t="str">
        <f t="shared" si="21"/>
        <v xml:space="preserve">MN_Dipalbhai G Nakrani </v>
      </c>
      <c r="D173" t="str">
        <f t="shared" si="22"/>
        <v xml:space="preserve">LN_Dipalbhai G Nakrani </v>
      </c>
      <c r="E173" s="4">
        <v>9000000253</v>
      </c>
      <c r="F173" s="4">
        <v>8000000253</v>
      </c>
      <c r="G173" s="4" t="str">
        <f t="shared" si="23"/>
        <v>PEDipalbhai G Nakrani @Ganeshmeradian.live</v>
      </c>
      <c r="H173" s="4" t="e">
        <f>"AE" &amp;#REF! &amp; "@ganeshmeridian.live"</f>
        <v>#REF!</v>
      </c>
      <c r="I173" t="b">
        <v>1</v>
      </c>
      <c r="J173" t="b">
        <v>0</v>
      </c>
      <c r="K173" t="b">
        <v>1</v>
      </c>
      <c r="L173" t="b">
        <v>1</v>
      </c>
      <c r="M173" t="b">
        <v>0</v>
      </c>
      <c r="N173" t="s">
        <v>509</v>
      </c>
    </row>
    <row r="174" spans="1:14">
      <c r="A174" s="1" t="s">
        <v>406</v>
      </c>
      <c r="B174" t="str">
        <f t="shared" si="20"/>
        <v>FN_Vipul Mahendrabhai Patel - HUF</v>
      </c>
      <c r="C174" t="str">
        <f t="shared" si="21"/>
        <v>MN_Vipul Mahendrabhai Patel - HUF</v>
      </c>
      <c r="D174" t="str">
        <f t="shared" si="22"/>
        <v>LN_Vipul Mahendrabhai Patel - HUF</v>
      </c>
      <c r="E174" s="4">
        <v>9000000257</v>
      </c>
      <c r="F174" s="4">
        <v>8000000257</v>
      </c>
      <c r="G174" s="4" t="str">
        <f t="shared" si="23"/>
        <v>PEVipul Mahendrabhai Patel - HUF@Ganeshmeradian.live</v>
      </c>
      <c r="H174" s="4" t="e">
        <f>"AE" &amp;#REF! &amp; "@ganeshmeridian.live"</f>
        <v>#REF!</v>
      </c>
      <c r="I174" t="b">
        <v>1</v>
      </c>
      <c r="J174" t="b">
        <v>0</v>
      </c>
      <c r="K174" t="b">
        <v>1</v>
      </c>
      <c r="L174" t="b">
        <v>1</v>
      </c>
      <c r="M174" t="b">
        <v>0</v>
      </c>
      <c r="N174" t="s">
        <v>509</v>
      </c>
    </row>
    <row r="175" spans="1:14">
      <c r="A175" s="1" t="s">
        <v>283</v>
      </c>
      <c r="B175" t="str">
        <f t="shared" si="20"/>
        <v>FN_Devanshi Chirag Patel</v>
      </c>
      <c r="C175" t="str">
        <f t="shared" si="21"/>
        <v>MN_Devanshi Chirag Patel</v>
      </c>
      <c r="D175" t="str">
        <f t="shared" si="22"/>
        <v>LN_Devanshi Chirag Patel</v>
      </c>
      <c r="E175" s="4">
        <v>9000000259</v>
      </c>
      <c r="F175" s="4">
        <v>8000000259</v>
      </c>
      <c r="G175" s="4" t="str">
        <f t="shared" si="23"/>
        <v>PEDevanshi Chirag Patel@Ganeshmeradian.live</v>
      </c>
      <c r="H175" s="4" t="e">
        <f>"AE" &amp;#REF! &amp; "@ganeshmeridian.live"</f>
        <v>#REF!</v>
      </c>
      <c r="I175" t="b">
        <v>1</v>
      </c>
      <c r="J175" t="b">
        <v>0</v>
      </c>
      <c r="K175" t="b">
        <v>1</v>
      </c>
      <c r="L175" t="b">
        <v>1</v>
      </c>
      <c r="M175" t="b">
        <v>0</v>
      </c>
      <c r="N175" t="s">
        <v>509</v>
      </c>
    </row>
    <row r="176" spans="1:14">
      <c r="A176" s="1" t="s">
        <v>165</v>
      </c>
      <c r="B176" t="str">
        <f t="shared" si="20"/>
        <v>FN_M_S.Bonita Farmaceuticals Pvt Ltd</v>
      </c>
      <c r="C176" t="str">
        <f t="shared" si="21"/>
        <v>MN_M_S.Bonita Farmaceuticals Pvt Ltd</v>
      </c>
      <c r="D176" t="str">
        <f t="shared" si="22"/>
        <v>LN_M_S.Bonita Farmaceuticals Pvt Ltd</v>
      </c>
      <c r="E176" s="4">
        <v>9000000261</v>
      </c>
      <c r="F176" s="4">
        <v>8000000261</v>
      </c>
      <c r="G176" s="4" t="str">
        <f t="shared" si="23"/>
        <v>PEM_S.Bonita Farmaceuticals Pvt Ltd@Ganeshmeradian.live</v>
      </c>
      <c r="H176" s="4" t="e">
        <f>"AE" &amp;#REF! &amp; "@ganeshmeridian.live"</f>
        <v>#REF!</v>
      </c>
      <c r="I176" t="b">
        <v>1</v>
      </c>
      <c r="J176" t="b">
        <v>0</v>
      </c>
      <c r="K176" t="b">
        <v>1</v>
      </c>
      <c r="L176" t="b">
        <v>1</v>
      </c>
      <c r="M176" t="b">
        <v>0</v>
      </c>
      <c r="N176" t="s">
        <v>509</v>
      </c>
    </row>
    <row r="177" spans="1:14">
      <c r="A177" s="1" t="s">
        <v>277</v>
      </c>
      <c r="B177" t="str">
        <f t="shared" si="20"/>
        <v>FN_Pcot Export</v>
      </c>
      <c r="C177" t="str">
        <f t="shared" si="21"/>
        <v>MN_Pcot Export</v>
      </c>
      <c r="D177" t="str">
        <f t="shared" si="22"/>
        <v>LN_Pcot Export</v>
      </c>
      <c r="E177" s="4">
        <v>9000000265</v>
      </c>
      <c r="F177" s="4">
        <v>8000000265</v>
      </c>
      <c r="G177" s="4" t="str">
        <f t="shared" si="23"/>
        <v>PEPcot Export@Ganeshmeradian.live</v>
      </c>
      <c r="H177" s="4" t="e">
        <f>"AE" &amp;#REF! &amp; "@ganeshmeridian.live"</f>
        <v>#REF!</v>
      </c>
      <c r="I177" t="b">
        <v>1</v>
      </c>
      <c r="J177" t="b">
        <v>0</v>
      </c>
      <c r="K177" t="b">
        <v>1</v>
      </c>
      <c r="L177" t="b">
        <v>1</v>
      </c>
      <c r="M177" t="b">
        <v>0</v>
      </c>
      <c r="N177" t="s">
        <v>509</v>
      </c>
    </row>
    <row r="178" spans="1:14">
      <c r="A178" s="1" t="s">
        <v>385</v>
      </c>
      <c r="B178" t="str">
        <f t="shared" si="20"/>
        <v>FN_Vinod Jivrajbhai Chotaliya</v>
      </c>
      <c r="C178" t="str">
        <f t="shared" si="21"/>
        <v>MN_Vinod Jivrajbhai Chotaliya</v>
      </c>
      <c r="D178" t="str">
        <f t="shared" si="22"/>
        <v>LN_Vinod Jivrajbhai Chotaliya</v>
      </c>
      <c r="E178" s="4">
        <v>9000000266</v>
      </c>
      <c r="F178" s="4">
        <v>8000000266</v>
      </c>
      <c r="G178" s="4" t="str">
        <f t="shared" si="23"/>
        <v>PEVinod Jivrajbhai Chotaliya@Ganeshmeradian.live</v>
      </c>
      <c r="H178" s="4" t="e">
        <f>"AE" &amp;#REF! &amp; "@ganeshmeridian.live"</f>
        <v>#REF!</v>
      </c>
      <c r="I178" t="b">
        <v>1</v>
      </c>
      <c r="J178" t="b">
        <v>0</v>
      </c>
      <c r="K178" t="b">
        <v>1</v>
      </c>
      <c r="L178" t="b">
        <v>1</v>
      </c>
      <c r="M178" t="b">
        <v>0</v>
      </c>
      <c r="N178" t="s">
        <v>509</v>
      </c>
    </row>
    <row r="179" spans="1:14">
      <c r="A179" s="1" t="s">
        <v>113</v>
      </c>
      <c r="B179" t="str">
        <f t="shared" si="20"/>
        <v>FN_Gabon Seramik Pvt Ltd</v>
      </c>
      <c r="C179" t="str">
        <f t="shared" si="21"/>
        <v>MN_Gabon Seramik Pvt Ltd</v>
      </c>
      <c r="D179" t="str">
        <f t="shared" si="22"/>
        <v>LN_Gabon Seramik Pvt Ltd</v>
      </c>
      <c r="E179" s="4">
        <v>9000000267</v>
      </c>
      <c r="F179" s="4">
        <v>8000000267</v>
      </c>
      <c r="G179" s="4" t="str">
        <f t="shared" si="23"/>
        <v>PEGabon Seramik Pvt Ltd@Ganeshmeradian.live</v>
      </c>
      <c r="H179" s="4" t="e">
        <f>"AE" &amp;#REF! &amp; "@ganeshmeridian.live"</f>
        <v>#REF!</v>
      </c>
      <c r="I179" t="b">
        <v>1</v>
      </c>
      <c r="J179" t="b">
        <v>0</v>
      </c>
      <c r="K179" t="b">
        <v>1</v>
      </c>
      <c r="L179" t="b">
        <v>1</v>
      </c>
      <c r="M179" t="b">
        <v>0</v>
      </c>
      <c r="N179" t="s">
        <v>509</v>
      </c>
    </row>
    <row r="180" spans="1:14">
      <c r="A180" s="1" t="s">
        <v>323</v>
      </c>
      <c r="B180" t="str">
        <f t="shared" si="20"/>
        <v>FN_M_S.Alpesh Infrastructure Pvt Ltd</v>
      </c>
      <c r="C180" t="str">
        <f t="shared" si="21"/>
        <v>MN_M_S.Alpesh Infrastructure Pvt Ltd</v>
      </c>
      <c r="D180" t="str">
        <f t="shared" si="22"/>
        <v>LN_M_S.Alpesh Infrastructure Pvt Ltd</v>
      </c>
      <c r="E180" s="4">
        <v>9000000268</v>
      </c>
      <c r="F180" s="4">
        <v>8000000268</v>
      </c>
      <c r="G180" s="4" t="str">
        <f t="shared" si="23"/>
        <v>PEM_S.Alpesh Infrastructure Pvt Ltd@Ganeshmeradian.live</v>
      </c>
      <c r="H180" s="4" t="e">
        <f>"AE" &amp;#REF! &amp; "@ganeshmeridian.live"</f>
        <v>#REF!</v>
      </c>
      <c r="I180" t="b">
        <v>1</v>
      </c>
      <c r="J180" t="b">
        <v>0</v>
      </c>
      <c r="K180" t="b">
        <v>1</v>
      </c>
      <c r="L180" t="b">
        <v>1</v>
      </c>
      <c r="M180" t="b">
        <v>0</v>
      </c>
      <c r="N180" t="s">
        <v>509</v>
      </c>
    </row>
    <row r="181" spans="1:14">
      <c r="A181" s="1" t="s">
        <v>426</v>
      </c>
      <c r="B181" t="str">
        <f t="shared" si="20"/>
        <v>FN_Jayeshkumar Rambhai Patel</v>
      </c>
      <c r="C181" t="str">
        <f t="shared" si="21"/>
        <v>MN_Jayeshkumar Rambhai Patel</v>
      </c>
      <c r="D181" t="str">
        <f t="shared" si="22"/>
        <v>LN_Jayeshkumar Rambhai Patel</v>
      </c>
      <c r="E181" s="4">
        <v>9000000270</v>
      </c>
      <c r="F181" s="4">
        <v>8000000270</v>
      </c>
      <c r="G181" s="4" t="str">
        <f t="shared" si="23"/>
        <v>PEJayeshkumar Rambhai Patel@Ganeshmeradian.live</v>
      </c>
      <c r="H181" s="4" t="e">
        <f>"AE" &amp;#REF! &amp; "@ganeshmeridian.live"</f>
        <v>#REF!</v>
      </c>
      <c r="I181" t="b">
        <v>1</v>
      </c>
      <c r="J181" t="b">
        <v>0</v>
      </c>
      <c r="K181" t="b">
        <v>1</v>
      </c>
      <c r="L181" t="b">
        <v>1</v>
      </c>
      <c r="M181" t="b">
        <v>0</v>
      </c>
      <c r="N181" t="s">
        <v>509</v>
      </c>
    </row>
    <row r="182" spans="1:14">
      <c r="A182" s="1" t="s">
        <v>400</v>
      </c>
      <c r="B182" t="str">
        <f t="shared" si="20"/>
        <v>FN_Shantibhai Prabhubhai Patel</v>
      </c>
      <c r="C182" t="str">
        <f t="shared" si="21"/>
        <v>MN_Shantibhai Prabhubhai Patel</v>
      </c>
      <c r="D182" t="str">
        <f t="shared" si="22"/>
        <v>LN_Shantibhai Prabhubhai Patel</v>
      </c>
      <c r="E182" s="4">
        <v>9000000271</v>
      </c>
      <c r="F182" s="4">
        <v>8000000271</v>
      </c>
      <c r="G182" s="4" t="str">
        <f t="shared" si="23"/>
        <v>PEShantibhai Prabhubhai Patel@Ganeshmeradian.live</v>
      </c>
      <c r="H182" s="4" t="e">
        <f>"AE" &amp;#REF! &amp; "@ganeshmeridian.live"</f>
        <v>#REF!</v>
      </c>
      <c r="I182" t="b">
        <v>1</v>
      </c>
      <c r="J182" t="b">
        <v>0</v>
      </c>
      <c r="K182" t="b">
        <v>1</v>
      </c>
      <c r="L182" t="b">
        <v>1</v>
      </c>
      <c r="M182" t="b">
        <v>0</v>
      </c>
      <c r="N182" t="s">
        <v>509</v>
      </c>
    </row>
    <row r="183" spans="1:14">
      <c r="A183" s="1" t="s">
        <v>446</v>
      </c>
      <c r="B183" t="str">
        <f t="shared" si="20"/>
        <v>FN_Jayeshbhai A Patel</v>
      </c>
      <c r="C183" t="str">
        <f t="shared" si="21"/>
        <v>MN_Jayeshbhai A Patel</v>
      </c>
      <c r="D183" t="str">
        <f t="shared" si="22"/>
        <v>LN_Jayeshbhai A Patel</v>
      </c>
      <c r="E183" s="4">
        <v>9000000272</v>
      </c>
      <c r="F183" s="4">
        <v>8000000272</v>
      </c>
      <c r="G183" s="4" t="str">
        <f t="shared" si="23"/>
        <v>PEJayeshbhai A Patel@Ganeshmeradian.live</v>
      </c>
      <c r="H183" s="4" t="e">
        <f>"AE" &amp;#REF! &amp; "@ganeshmeridian.live"</f>
        <v>#REF!</v>
      </c>
      <c r="I183" t="b">
        <v>1</v>
      </c>
      <c r="J183" t="b">
        <v>0</v>
      </c>
      <c r="K183" t="b">
        <v>1</v>
      </c>
      <c r="L183" t="b">
        <v>1</v>
      </c>
      <c r="M183" t="b">
        <v>0</v>
      </c>
      <c r="N183" t="s">
        <v>509</v>
      </c>
    </row>
    <row r="184" spans="1:14">
      <c r="A184" s="1" t="s">
        <v>434</v>
      </c>
      <c r="B184" t="str">
        <f t="shared" si="20"/>
        <v>FN_Mitesh Bhammar</v>
      </c>
      <c r="C184" t="str">
        <f t="shared" si="21"/>
        <v>MN_Mitesh Bhammar</v>
      </c>
      <c r="D184" t="str">
        <f t="shared" si="22"/>
        <v>LN_Mitesh Bhammar</v>
      </c>
      <c r="E184" s="4">
        <v>9000000273</v>
      </c>
      <c r="F184" s="4">
        <v>8000000273</v>
      </c>
      <c r="G184" s="4" t="str">
        <f t="shared" si="23"/>
        <v>PEMitesh Bhammar@Ganeshmeradian.live</v>
      </c>
      <c r="H184" s="4" t="e">
        <f>"AE" &amp;#REF! &amp; "@ganeshmeridian.live"</f>
        <v>#REF!</v>
      </c>
      <c r="I184" t="b">
        <v>1</v>
      </c>
      <c r="J184" t="b">
        <v>0</v>
      </c>
      <c r="K184" t="b">
        <v>1</v>
      </c>
      <c r="L184" t="b">
        <v>1</v>
      </c>
      <c r="M184" t="b">
        <v>0</v>
      </c>
      <c r="N184" t="s">
        <v>509</v>
      </c>
    </row>
    <row r="185" spans="1:14">
      <c r="A185" s="1" t="s">
        <v>364</v>
      </c>
      <c r="B185" t="str">
        <f t="shared" si="20"/>
        <v>FN_Sapphire Software Solution</v>
      </c>
      <c r="C185" t="str">
        <f t="shared" si="21"/>
        <v>MN_Sapphire Software Solution</v>
      </c>
      <c r="D185" t="str">
        <f t="shared" si="22"/>
        <v>LN_Sapphire Software Solution</v>
      </c>
      <c r="E185" s="4">
        <v>9000000276</v>
      </c>
      <c r="F185" s="4">
        <v>8000000276</v>
      </c>
      <c r="G185" s="4" t="str">
        <f t="shared" si="23"/>
        <v>PESapphire Software Solution@Ganeshmeradian.live</v>
      </c>
      <c r="H185" s="4" t="e">
        <f>"AE" &amp;#REF! &amp; "@ganeshmeridian.live"</f>
        <v>#REF!</v>
      </c>
      <c r="I185" t="b">
        <v>1</v>
      </c>
      <c r="J185" t="b">
        <v>0</v>
      </c>
      <c r="K185" t="b">
        <v>1</v>
      </c>
      <c r="L185" t="b">
        <v>1</v>
      </c>
      <c r="M185" t="b">
        <v>0</v>
      </c>
      <c r="N185" t="s">
        <v>509</v>
      </c>
    </row>
    <row r="186" spans="1:14">
      <c r="A186" s="1" t="s">
        <v>167</v>
      </c>
      <c r="B186" t="str">
        <f t="shared" si="20"/>
        <v>FN_Uday Amin</v>
      </c>
      <c r="C186" t="str">
        <f t="shared" si="21"/>
        <v>MN_Uday Amin</v>
      </c>
      <c r="D186" t="str">
        <f t="shared" si="22"/>
        <v>LN_Uday Amin</v>
      </c>
      <c r="E186" s="4">
        <v>9000000277</v>
      </c>
      <c r="F186" s="4">
        <v>8000000277</v>
      </c>
      <c r="G186" s="4" t="str">
        <f t="shared" si="23"/>
        <v>PEUday Amin@Ganeshmeradian.live</v>
      </c>
      <c r="H186" s="4" t="e">
        <f>"AE" &amp;#REF! &amp; "@ganeshmeridian.live"</f>
        <v>#REF!</v>
      </c>
      <c r="I186" t="b">
        <v>1</v>
      </c>
      <c r="J186" t="b">
        <v>0</v>
      </c>
      <c r="K186" t="b">
        <v>1</v>
      </c>
      <c r="L186" t="b">
        <v>1</v>
      </c>
      <c r="M186" t="b">
        <v>0</v>
      </c>
      <c r="N186" t="s">
        <v>509</v>
      </c>
    </row>
    <row r="187" spans="1:14">
      <c r="A187" s="1" t="s">
        <v>223</v>
      </c>
      <c r="B187" t="str">
        <f t="shared" si="20"/>
        <v>FN_Nimit Shukla</v>
      </c>
      <c r="C187" t="str">
        <f t="shared" si="21"/>
        <v>MN_Nimit Shukla</v>
      </c>
      <c r="D187" t="str">
        <f t="shared" si="22"/>
        <v>LN_Nimit Shukla</v>
      </c>
      <c r="E187" s="4">
        <v>9000000280</v>
      </c>
      <c r="F187" s="4">
        <v>8000000280</v>
      </c>
      <c r="G187" s="4" t="str">
        <f t="shared" si="23"/>
        <v>PENimit Shukla@Ganeshmeradian.live</v>
      </c>
      <c r="H187" s="4" t="e">
        <f>"AE" &amp;#REF! &amp; "@ganeshmeridian.live"</f>
        <v>#REF!</v>
      </c>
      <c r="I187" t="b">
        <v>1</v>
      </c>
      <c r="J187" t="b">
        <v>0</v>
      </c>
      <c r="K187" t="b">
        <v>1</v>
      </c>
      <c r="L187" t="b">
        <v>1</v>
      </c>
      <c r="M187" t="b">
        <v>0</v>
      </c>
      <c r="N187" t="s">
        <v>509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69"/>
  <sheetViews>
    <sheetView topLeftCell="A13" workbookViewId="0"/>
  </sheetViews>
  <sheetFormatPr defaultRowHeight="15"/>
  <cols>
    <col min="1" max="1" width="52.85546875" bestFit="1" customWidth="1"/>
    <col min="2" max="2" width="9.7109375" bestFit="1" customWidth="1"/>
    <col min="3" max="3" width="57.28515625" bestFit="1" customWidth="1"/>
    <col min="4" max="4" width="19.85546875" bestFit="1" customWidth="1"/>
    <col min="5" max="5" width="10.42578125" bestFit="1" customWidth="1"/>
    <col min="6" max="6" width="14.7109375" bestFit="1" customWidth="1"/>
    <col min="7" max="7" width="17.5703125" bestFit="1" customWidth="1"/>
    <col min="8" max="8" width="12" bestFit="1" customWidth="1"/>
    <col min="9" max="9" width="11.7109375" bestFit="1" customWidth="1"/>
    <col min="10" max="16384" width="9.140625" style="11"/>
  </cols>
  <sheetData>
    <row r="1" spans="1:9" s="10" customFormat="1">
      <c r="A1" s="7" t="s">
        <v>548</v>
      </c>
      <c r="B1" s="7" t="s">
        <v>532</v>
      </c>
      <c r="C1" s="7" t="s">
        <v>531</v>
      </c>
      <c r="D1" s="7" t="s">
        <v>530</v>
      </c>
      <c r="E1" s="7" t="s">
        <v>529</v>
      </c>
      <c r="F1" s="7" t="s">
        <v>528</v>
      </c>
      <c r="G1" s="7" t="s">
        <v>527</v>
      </c>
      <c r="H1" s="7" t="s">
        <v>526</v>
      </c>
      <c r="I1" s="7" t="s">
        <v>525</v>
      </c>
    </row>
    <row r="2" spans="1:9">
      <c r="A2" s="1" t="s">
        <v>127</v>
      </c>
      <c r="B2" t="s">
        <v>524</v>
      </c>
      <c r="C2" t="str">
        <f t="shared" ref="C2:C65" si="0">B2&amp;"_"&amp;A2</f>
        <v>GST_M_S.Desai &amp; Co. Proprietor Desai Nimbeshwar Gudadram</v>
      </c>
      <c r="D2" s="5" t="s">
        <v>522</v>
      </c>
      <c r="E2" s="5" t="s">
        <v>522</v>
      </c>
      <c r="F2" t="b">
        <v>1</v>
      </c>
      <c r="G2" s="5" t="s">
        <v>522</v>
      </c>
      <c r="H2" t="s">
        <v>524</v>
      </c>
      <c r="I2" t="b">
        <v>1</v>
      </c>
    </row>
    <row r="3" spans="1:9">
      <c r="A3" s="1" t="s">
        <v>279</v>
      </c>
      <c r="B3" t="s">
        <v>524</v>
      </c>
      <c r="C3" t="str">
        <f t="shared" si="0"/>
        <v>GST_Somabhai Kuberbhai Prajapati</v>
      </c>
      <c r="D3" s="5" t="s">
        <v>522</v>
      </c>
      <c r="E3" s="5" t="s">
        <v>522</v>
      </c>
      <c r="F3" t="b">
        <v>1</v>
      </c>
      <c r="G3" s="5" t="s">
        <v>522</v>
      </c>
      <c r="H3" t="s">
        <v>524</v>
      </c>
      <c r="I3" t="b">
        <v>1</v>
      </c>
    </row>
    <row r="4" spans="1:9">
      <c r="A4" s="1" t="s">
        <v>378</v>
      </c>
      <c r="B4" t="s">
        <v>524</v>
      </c>
      <c r="C4" t="str">
        <f t="shared" si="0"/>
        <v>GST_A. D. Patel</v>
      </c>
      <c r="D4" s="5" t="s">
        <v>522</v>
      </c>
      <c r="E4" s="5" t="s">
        <v>522</v>
      </c>
      <c r="F4" t="b">
        <v>1</v>
      </c>
      <c r="G4" s="5" t="s">
        <v>522</v>
      </c>
      <c r="H4" t="s">
        <v>524</v>
      </c>
      <c r="I4" t="b">
        <v>1</v>
      </c>
    </row>
    <row r="5" spans="1:9">
      <c r="A5" s="2" t="s">
        <v>440</v>
      </c>
      <c r="B5" t="s">
        <v>524</v>
      </c>
      <c r="C5" t="str">
        <f t="shared" si="0"/>
        <v>GST_Viaan Solutions LLP</v>
      </c>
      <c r="D5" s="5" t="s">
        <v>522</v>
      </c>
      <c r="E5" s="5" t="s">
        <v>522</v>
      </c>
      <c r="F5" t="b">
        <v>1</v>
      </c>
      <c r="G5" s="5" t="s">
        <v>522</v>
      </c>
      <c r="H5" t="s">
        <v>524</v>
      </c>
      <c r="I5" t="b">
        <v>1</v>
      </c>
    </row>
    <row r="6" spans="1:9">
      <c r="A6" s="2" t="s">
        <v>24</v>
      </c>
      <c r="B6" t="s">
        <v>524</v>
      </c>
      <c r="C6" t="str">
        <f t="shared" si="0"/>
        <v xml:space="preserve">GST_Tejas Manilal Patel </v>
      </c>
      <c r="D6" s="5" t="s">
        <v>522</v>
      </c>
      <c r="E6" s="5" t="s">
        <v>522</v>
      </c>
      <c r="F6" t="b">
        <v>1</v>
      </c>
      <c r="G6" s="5" t="s">
        <v>522</v>
      </c>
      <c r="H6" t="s">
        <v>524</v>
      </c>
      <c r="I6" t="b">
        <v>1</v>
      </c>
    </row>
    <row r="7" spans="1:9">
      <c r="A7" s="1" t="s">
        <v>305</v>
      </c>
      <c r="B7" t="s">
        <v>524</v>
      </c>
      <c r="C7" t="str">
        <f t="shared" si="0"/>
        <v>GST_Uniza Healthcare LLP</v>
      </c>
      <c r="D7" s="5" t="s">
        <v>522</v>
      </c>
      <c r="E7" s="5" t="s">
        <v>522</v>
      </c>
      <c r="F7" t="b">
        <v>1</v>
      </c>
      <c r="G7" s="5" t="s">
        <v>522</v>
      </c>
      <c r="H7" t="s">
        <v>524</v>
      </c>
      <c r="I7" t="b">
        <v>1</v>
      </c>
    </row>
    <row r="8" spans="1:9">
      <c r="A8" s="1" t="s">
        <v>267</v>
      </c>
      <c r="B8" t="s">
        <v>524</v>
      </c>
      <c r="C8" t="str">
        <f t="shared" si="0"/>
        <v>GST_Jagdishsinh Mansinh Rao</v>
      </c>
      <c r="D8" s="5" t="s">
        <v>522</v>
      </c>
      <c r="E8" s="5" t="s">
        <v>522</v>
      </c>
      <c r="F8" t="b">
        <v>1</v>
      </c>
      <c r="G8" s="5" t="s">
        <v>522</v>
      </c>
      <c r="H8" t="s">
        <v>524</v>
      </c>
      <c r="I8" t="b">
        <v>1</v>
      </c>
    </row>
    <row r="9" spans="1:9">
      <c r="A9" s="1" t="s">
        <v>356</v>
      </c>
      <c r="B9" t="s">
        <v>524</v>
      </c>
      <c r="C9" t="str">
        <f t="shared" si="0"/>
        <v>GST_Arjun Sheth&amp;Associate</v>
      </c>
      <c r="D9" s="5" t="s">
        <v>522</v>
      </c>
      <c r="E9" s="5" t="s">
        <v>522</v>
      </c>
      <c r="F9" t="b">
        <v>1</v>
      </c>
      <c r="G9" s="5" t="s">
        <v>522</v>
      </c>
      <c r="H9" t="s">
        <v>524</v>
      </c>
      <c r="I9" t="b">
        <v>1</v>
      </c>
    </row>
    <row r="10" spans="1:9">
      <c r="A10" s="1" t="s">
        <v>197</v>
      </c>
      <c r="B10" t="s">
        <v>524</v>
      </c>
      <c r="C10" t="str">
        <f t="shared" si="0"/>
        <v>GST_Ashlesha Mansukhbhai Patel</v>
      </c>
      <c r="D10" s="5" t="s">
        <v>522</v>
      </c>
      <c r="E10" s="5" t="s">
        <v>522</v>
      </c>
      <c r="F10" t="b">
        <v>1</v>
      </c>
      <c r="G10" s="5" t="s">
        <v>522</v>
      </c>
      <c r="H10" t="s">
        <v>524</v>
      </c>
      <c r="I10" t="b">
        <v>1</v>
      </c>
    </row>
    <row r="11" spans="1:9">
      <c r="A11" s="1" t="s">
        <v>209</v>
      </c>
      <c r="B11" t="s">
        <v>524</v>
      </c>
      <c r="C11" t="str">
        <f t="shared" si="0"/>
        <v>GST_Sagarbhai R Desai</v>
      </c>
      <c r="D11" s="5" t="s">
        <v>522</v>
      </c>
      <c r="E11" s="5" t="s">
        <v>522</v>
      </c>
      <c r="F11" t="b">
        <v>1</v>
      </c>
      <c r="G11" s="5" t="s">
        <v>522</v>
      </c>
      <c r="H11" t="s">
        <v>524</v>
      </c>
      <c r="I11" t="b">
        <v>1</v>
      </c>
    </row>
    <row r="12" spans="1:9">
      <c r="A12" s="1" t="s">
        <v>38</v>
      </c>
      <c r="B12" t="s">
        <v>524</v>
      </c>
      <c r="C12" t="str">
        <f t="shared" si="0"/>
        <v>GST_Shashikantbhai P Patel</v>
      </c>
      <c r="D12" s="5" t="s">
        <v>522</v>
      </c>
      <c r="E12" s="5" t="s">
        <v>522</v>
      </c>
      <c r="F12" t="b">
        <v>1</v>
      </c>
      <c r="G12" s="5" t="s">
        <v>522</v>
      </c>
      <c r="H12" t="s">
        <v>524</v>
      </c>
      <c r="I12" t="b">
        <v>1</v>
      </c>
    </row>
    <row r="13" spans="1:9">
      <c r="A13" s="1" t="s">
        <v>371</v>
      </c>
      <c r="B13" t="s">
        <v>524</v>
      </c>
      <c r="C13" t="str">
        <f t="shared" si="0"/>
        <v>GST_Synbio Technova P. Ltd</v>
      </c>
      <c r="D13" s="5" t="s">
        <v>522</v>
      </c>
      <c r="E13" s="5" t="s">
        <v>522</v>
      </c>
      <c r="F13" t="b">
        <v>1</v>
      </c>
      <c r="G13" s="5" t="s">
        <v>522</v>
      </c>
      <c r="H13" t="s">
        <v>524</v>
      </c>
      <c r="I13" t="b">
        <v>1</v>
      </c>
    </row>
    <row r="14" spans="1:9">
      <c r="A14" s="1" t="s">
        <v>436</v>
      </c>
      <c r="B14" t="s">
        <v>524</v>
      </c>
      <c r="C14" t="str">
        <f t="shared" si="0"/>
        <v>GST_Qodic Technosoft LLP</v>
      </c>
      <c r="D14" s="5" t="s">
        <v>522</v>
      </c>
      <c r="E14" s="5" t="s">
        <v>522</v>
      </c>
      <c r="F14" t="b">
        <v>1</v>
      </c>
      <c r="G14" s="5" t="s">
        <v>522</v>
      </c>
      <c r="H14" t="s">
        <v>524</v>
      </c>
      <c r="I14" t="b">
        <v>1</v>
      </c>
    </row>
    <row r="15" spans="1:9">
      <c r="A15" s="1" t="s">
        <v>457</v>
      </c>
      <c r="B15" t="s">
        <v>524</v>
      </c>
      <c r="C15" t="str">
        <f t="shared" si="0"/>
        <v>GST_BVC Logistic Pvt  Ltd</v>
      </c>
      <c r="D15" s="5" t="s">
        <v>522</v>
      </c>
      <c r="E15" s="5" t="s">
        <v>522</v>
      </c>
      <c r="F15" t="b">
        <v>1</v>
      </c>
      <c r="G15" s="5" t="s">
        <v>522</v>
      </c>
      <c r="H15" t="s">
        <v>524</v>
      </c>
      <c r="I15" t="b">
        <v>1</v>
      </c>
    </row>
    <row r="16" spans="1:9">
      <c r="A16" s="1" t="s">
        <v>291</v>
      </c>
      <c r="B16" t="s">
        <v>524</v>
      </c>
      <c r="C16" t="str">
        <f t="shared" si="0"/>
        <v>GST_M_S.Shree Developers</v>
      </c>
      <c r="D16" s="5" t="s">
        <v>522</v>
      </c>
      <c r="E16" s="5" t="s">
        <v>522</v>
      </c>
      <c r="F16" t="b">
        <v>1</v>
      </c>
      <c r="G16" s="5" t="s">
        <v>522</v>
      </c>
      <c r="H16" t="s">
        <v>524</v>
      </c>
      <c r="I16" t="b">
        <v>1</v>
      </c>
    </row>
    <row r="17" spans="1:9">
      <c r="A17" s="1" t="s">
        <v>32</v>
      </c>
      <c r="B17" t="s">
        <v>524</v>
      </c>
      <c r="C17" t="str">
        <f t="shared" si="0"/>
        <v>GST_Cengres Tiles Ltd.</v>
      </c>
      <c r="D17" s="5" t="s">
        <v>522</v>
      </c>
      <c r="E17" s="5" t="s">
        <v>522</v>
      </c>
      <c r="F17" t="b">
        <v>1</v>
      </c>
      <c r="G17" s="5" t="s">
        <v>522</v>
      </c>
      <c r="H17" t="s">
        <v>524</v>
      </c>
      <c r="I17" t="b">
        <v>1</v>
      </c>
    </row>
    <row r="18" spans="1:9">
      <c r="A18" s="1" t="s">
        <v>395</v>
      </c>
      <c r="B18" t="s">
        <v>524</v>
      </c>
      <c r="C18" t="str">
        <f t="shared" si="0"/>
        <v>GST_Jagdishbhai Nathabhai Patel</v>
      </c>
      <c r="D18" s="5" t="s">
        <v>522</v>
      </c>
      <c r="E18" s="5" t="s">
        <v>522</v>
      </c>
      <c r="F18" t="b">
        <v>1</v>
      </c>
      <c r="G18" s="5" t="s">
        <v>522</v>
      </c>
      <c r="H18" t="s">
        <v>524</v>
      </c>
      <c r="I18" t="b">
        <v>1</v>
      </c>
    </row>
    <row r="19" spans="1:9">
      <c r="A19" s="1" t="s">
        <v>142</v>
      </c>
      <c r="B19" t="s">
        <v>524</v>
      </c>
      <c r="C19" t="str">
        <f t="shared" si="0"/>
        <v>GST_B.K. Patel</v>
      </c>
      <c r="D19" s="5" t="s">
        <v>522</v>
      </c>
      <c r="E19" s="5" t="s">
        <v>522</v>
      </c>
      <c r="F19" t="b">
        <v>1</v>
      </c>
      <c r="G19" s="5" t="s">
        <v>522</v>
      </c>
      <c r="H19" t="s">
        <v>524</v>
      </c>
      <c r="I19" t="b">
        <v>1</v>
      </c>
    </row>
    <row r="20" spans="1:9">
      <c r="A20" s="1" t="s">
        <v>331</v>
      </c>
      <c r="B20" t="s">
        <v>524</v>
      </c>
      <c r="C20" t="str">
        <f t="shared" si="0"/>
        <v>GST_Monil Hasmukhbhai Parikh</v>
      </c>
      <c r="D20" s="5" t="s">
        <v>522</v>
      </c>
      <c r="E20" s="5" t="s">
        <v>522</v>
      </c>
      <c r="F20" t="b">
        <v>1</v>
      </c>
      <c r="G20" s="5" t="s">
        <v>522</v>
      </c>
      <c r="H20" t="s">
        <v>524</v>
      </c>
      <c r="I20" t="b">
        <v>1</v>
      </c>
    </row>
    <row r="21" spans="1:9">
      <c r="A21" s="1" t="s">
        <v>382</v>
      </c>
      <c r="B21" t="s">
        <v>524</v>
      </c>
      <c r="C21" t="str">
        <f t="shared" si="0"/>
        <v>GST_Ganpat University</v>
      </c>
      <c r="D21" s="5" t="s">
        <v>522</v>
      </c>
      <c r="E21" s="5" t="s">
        <v>522</v>
      </c>
      <c r="F21" t="b">
        <v>1</v>
      </c>
      <c r="G21" s="5" t="s">
        <v>522</v>
      </c>
      <c r="H21" t="s">
        <v>524</v>
      </c>
      <c r="I21" t="b">
        <v>1</v>
      </c>
    </row>
    <row r="22" spans="1:9">
      <c r="A22" s="1" t="s">
        <v>18</v>
      </c>
      <c r="B22" t="s">
        <v>524</v>
      </c>
      <c r="C22" t="str">
        <f t="shared" si="0"/>
        <v>GST_Nayana Rajnikant Patel</v>
      </c>
      <c r="D22" s="5" t="s">
        <v>522</v>
      </c>
      <c r="E22" s="5" t="s">
        <v>522</v>
      </c>
      <c r="F22" t="b">
        <v>1</v>
      </c>
      <c r="G22" s="5" t="s">
        <v>522</v>
      </c>
      <c r="H22" t="s">
        <v>524</v>
      </c>
      <c r="I22" t="b">
        <v>1</v>
      </c>
    </row>
    <row r="23" spans="1:9">
      <c r="A23" s="1" t="s">
        <v>299</v>
      </c>
      <c r="B23" t="s">
        <v>524</v>
      </c>
      <c r="C23" t="str">
        <f t="shared" si="0"/>
        <v>GST_Dhaval B Patel</v>
      </c>
      <c r="D23" s="5" t="s">
        <v>522</v>
      </c>
      <c r="E23" s="5" t="s">
        <v>522</v>
      </c>
      <c r="F23" t="b">
        <v>1</v>
      </c>
      <c r="G23" s="5" t="s">
        <v>522</v>
      </c>
      <c r="H23" t="s">
        <v>524</v>
      </c>
      <c r="I23" t="b">
        <v>1</v>
      </c>
    </row>
    <row r="24" spans="1:9">
      <c r="A24" s="1" t="s">
        <v>30</v>
      </c>
      <c r="B24" t="s">
        <v>524</v>
      </c>
      <c r="C24" t="str">
        <f t="shared" si="0"/>
        <v>GST_Avadhoot Project Pvt Ltd</v>
      </c>
      <c r="D24" s="5" t="s">
        <v>522</v>
      </c>
      <c r="E24" s="5" t="s">
        <v>522</v>
      </c>
      <c r="F24" t="b">
        <v>1</v>
      </c>
      <c r="G24" s="5" t="s">
        <v>522</v>
      </c>
      <c r="H24" t="s">
        <v>524</v>
      </c>
      <c r="I24" t="b">
        <v>1</v>
      </c>
    </row>
    <row r="25" spans="1:9">
      <c r="A25" s="1" t="s">
        <v>424</v>
      </c>
      <c r="B25" t="s">
        <v>524</v>
      </c>
      <c r="C25" t="str">
        <f t="shared" si="0"/>
        <v>GST_Patel Lalitaben Pankajbhai</v>
      </c>
      <c r="D25" s="5" t="s">
        <v>522</v>
      </c>
      <c r="E25" s="5" t="s">
        <v>522</v>
      </c>
      <c r="F25" t="b">
        <v>1</v>
      </c>
      <c r="G25" s="5" t="s">
        <v>522</v>
      </c>
      <c r="H25" t="s">
        <v>524</v>
      </c>
      <c r="I25" t="b">
        <v>1</v>
      </c>
    </row>
    <row r="26" spans="1:9">
      <c r="A26" s="1" t="s">
        <v>340</v>
      </c>
      <c r="B26" t="s">
        <v>524</v>
      </c>
      <c r="C26" t="str">
        <f t="shared" si="0"/>
        <v>GST_Rajesh D Shah</v>
      </c>
      <c r="D26" s="5" t="s">
        <v>522</v>
      </c>
      <c r="E26" s="5" t="s">
        <v>522</v>
      </c>
      <c r="F26" t="b">
        <v>1</v>
      </c>
      <c r="G26" s="5" t="s">
        <v>522</v>
      </c>
      <c r="H26" t="s">
        <v>524</v>
      </c>
      <c r="I26" t="b">
        <v>1</v>
      </c>
    </row>
    <row r="27" spans="1:9">
      <c r="A27" s="1" t="s">
        <v>121</v>
      </c>
      <c r="B27" t="s">
        <v>524</v>
      </c>
      <c r="C27" t="str">
        <f t="shared" si="0"/>
        <v>GST_Ansi Bytecode LLP</v>
      </c>
      <c r="D27" s="5" t="s">
        <v>522</v>
      </c>
      <c r="E27" s="5" t="s">
        <v>522</v>
      </c>
      <c r="F27" t="b">
        <v>1</v>
      </c>
      <c r="G27" s="5" t="s">
        <v>522</v>
      </c>
      <c r="H27" t="s">
        <v>524</v>
      </c>
      <c r="I27" t="b">
        <v>1</v>
      </c>
    </row>
    <row r="28" spans="1:9">
      <c r="A28" s="1" t="s">
        <v>28</v>
      </c>
      <c r="B28" t="s">
        <v>524</v>
      </c>
      <c r="C28" t="str">
        <f t="shared" si="0"/>
        <v>GST_Kapilaben Shakarabhai Patel</v>
      </c>
      <c r="D28" s="5" t="s">
        <v>522</v>
      </c>
      <c r="E28" s="5" t="s">
        <v>522</v>
      </c>
      <c r="F28" t="b">
        <v>1</v>
      </c>
      <c r="G28" s="5" t="s">
        <v>522</v>
      </c>
      <c r="H28" t="s">
        <v>524</v>
      </c>
      <c r="I28" t="b">
        <v>1</v>
      </c>
    </row>
    <row r="29" spans="1:9">
      <c r="A29" s="1" t="s">
        <v>119</v>
      </c>
      <c r="B29" t="s">
        <v>524</v>
      </c>
      <c r="C29" t="str">
        <f t="shared" si="0"/>
        <v>GST_Avisha Technologies</v>
      </c>
      <c r="D29" s="5" t="s">
        <v>522</v>
      </c>
      <c r="E29" s="5" t="s">
        <v>522</v>
      </c>
      <c r="F29" t="b">
        <v>1</v>
      </c>
      <c r="G29" s="5" t="s">
        <v>522</v>
      </c>
      <c r="H29" t="s">
        <v>524</v>
      </c>
      <c r="I29" t="b">
        <v>1</v>
      </c>
    </row>
    <row r="30" spans="1:9">
      <c r="A30" s="1" t="s">
        <v>181</v>
      </c>
      <c r="B30" t="s">
        <v>524</v>
      </c>
      <c r="C30" t="str">
        <f t="shared" si="0"/>
        <v>GST_Rajendra R Shukla</v>
      </c>
      <c r="D30" s="5" t="s">
        <v>522</v>
      </c>
      <c r="E30" s="5" t="s">
        <v>522</v>
      </c>
      <c r="F30" t="b">
        <v>1</v>
      </c>
      <c r="G30" s="5" t="s">
        <v>522</v>
      </c>
      <c r="H30" t="s">
        <v>524</v>
      </c>
      <c r="I30" t="b">
        <v>1</v>
      </c>
    </row>
    <row r="31" spans="1:9">
      <c r="A31" s="1" t="s">
        <v>26</v>
      </c>
      <c r="B31" t="s">
        <v>524</v>
      </c>
      <c r="C31" t="str">
        <f t="shared" si="0"/>
        <v>GST_Laxmiben Shantilal Shah</v>
      </c>
      <c r="D31" s="5" t="s">
        <v>522</v>
      </c>
      <c r="E31" s="5" t="s">
        <v>522</v>
      </c>
      <c r="F31" t="b">
        <v>1</v>
      </c>
      <c r="G31" s="5" t="s">
        <v>522</v>
      </c>
      <c r="H31" t="s">
        <v>524</v>
      </c>
      <c r="I31" t="b">
        <v>1</v>
      </c>
    </row>
    <row r="32" spans="1:9">
      <c r="A32" s="1" t="s">
        <v>135</v>
      </c>
      <c r="B32" t="s">
        <v>524</v>
      </c>
      <c r="C32" t="str">
        <f t="shared" si="0"/>
        <v xml:space="preserve">GST_Mr. Ravjibhai Nagarbhai patel </v>
      </c>
      <c r="D32" s="5" t="s">
        <v>522</v>
      </c>
      <c r="E32" s="5" t="s">
        <v>522</v>
      </c>
      <c r="F32" t="b">
        <v>1</v>
      </c>
      <c r="G32" s="5" t="s">
        <v>522</v>
      </c>
      <c r="H32" t="s">
        <v>524</v>
      </c>
      <c r="I32" t="b">
        <v>1</v>
      </c>
    </row>
    <row r="33" spans="1:9">
      <c r="A33" s="1" t="s">
        <v>193</v>
      </c>
      <c r="B33" t="s">
        <v>524</v>
      </c>
      <c r="C33" t="str">
        <f t="shared" si="0"/>
        <v>GST_Balark Chemicals</v>
      </c>
      <c r="D33" s="5" t="s">
        <v>522</v>
      </c>
      <c r="E33" s="5" t="s">
        <v>522</v>
      </c>
      <c r="F33" t="b">
        <v>1</v>
      </c>
      <c r="G33" s="5" t="s">
        <v>522</v>
      </c>
      <c r="H33" t="s">
        <v>524</v>
      </c>
      <c r="I33" t="b">
        <v>1</v>
      </c>
    </row>
    <row r="34" spans="1:9">
      <c r="A34" s="1" t="s">
        <v>358</v>
      </c>
      <c r="B34" t="s">
        <v>524</v>
      </c>
      <c r="C34" t="str">
        <f t="shared" si="0"/>
        <v>GST_Moon Technolabs</v>
      </c>
      <c r="D34" s="5" t="s">
        <v>522</v>
      </c>
      <c r="E34" s="5" t="s">
        <v>522</v>
      </c>
      <c r="F34" t="b">
        <v>1</v>
      </c>
      <c r="G34" s="5" t="s">
        <v>522</v>
      </c>
      <c r="H34" t="s">
        <v>524</v>
      </c>
      <c r="I34" t="b">
        <v>1</v>
      </c>
    </row>
    <row r="35" spans="1:9">
      <c r="A35" s="1" t="s">
        <v>327</v>
      </c>
      <c r="B35" t="s">
        <v>524</v>
      </c>
      <c r="C35" t="str">
        <f t="shared" si="0"/>
        <v xml:space="preserve">GST_Mukeshbhai K Patel </v>
      </c>
      <c r="D35" s="5" t="s">
        <v>522</v>
      </c>
      <c r="E35" s="5" t="s">
        <v>522</v>
      </c>
      <c r="F35" t="b">
        <v>1</v>
      </c>
      <c r="G35" s="5" t="s">
        <v>522</v>
      </c>
      <c r="H35" t="s">
        <v>524</v>
      </c>
      <c r="I35" t="b">
        <v>1</v>
      </c>
    </row>
    <row r="36" spans="1:9">
      <c r="A36" s="1" t="s">
        <v>34</v>
      </c>
      <c r="B36" t="s">
        <v>524</v>
      </c>
      <c r="C36" t="str">
        <f t="shared" si="0"/>
        <v>GST_Vishwas Cafeteria</v>
      </c>
      <c r="D36" s="5" t="s">
        <v>522</v>
      </c>
      <c r="E36" s="5" t="s">
        <v>522</v>
      </c>
      <c r="F36" t="b">
        <v>1</v>
      </c>
      <c r="G36" s="5" t="s">
        <v>522</v>
      </c>
      <c r="H36" t="s">
        <v>524</v>
      </c>
      <c r="I36" t="b">
        <v>1</v>
      </c>
    </row>
    <row r="37" spans="1:9">
      <c r="A37" s="1" t="s">
        <v>6</v>
      </c>
      <c r="B37" t="s">
        <v>524</v>
      </c>
      <c r="C37" t="str">
        <f t="shared" si="0"/>
        <v>GST_Shree Siddhi Infrabuild Pvt Ltd</v>
      </c>
      <c r="D37" s="5" t="s">
        <v>522</v>
      </c>
      <c r="E37" s="5" t="s">
        <v>522</v>
      </c>
      <c r="F37" t="b">
        <v>1</v>
      </c>
      <c r="G37" s="5" t="s">
        <v>522</v>
      </c>
      <c r="H37" t="s">
        <v>524</v>
      </c>
      <c r="I37" t="b">
        <v>1</v>
      </c>
    </row>
    <row r="38" spans="1:9">
      <c r="A38" s="1" t="s">
        <v>217</v>
      </c>
      <c r="B38" t="s">
        <v>524</v>
      </c>
      <c r="C38" t="str">
        <f t="shared" si="0"/>
        <v>GST_Manj &amp; Associates</v>
      </c>
      <c r="D38" s="5" t="s">
        <v>522</v>
      </c>
      <c r="E38" s="5" t="s">
        <v>522</v>
      </c>
      <c r="F38" t="b">
        <v>1</v>
      </c>
      <c r="G38" s="5" t="s">
        <v>522</v>
      </c>
      <c r="H38" t="s">
        <v>524</v>
      </c>
      <c r="I38" t="b">
        <v>1</v>
      </c>
    </row>
    <row r="39" spans="1:9">
      <c r="A39" s="1" t="s">
        <v>42</v>
      </c>
      <c r="B39" t="s">
        <v>524</v>
      </c>
      <c r="C39" t="str">
        <f t="shared" si="0"/>
        <v>GST_Samir B Dalal</v>
      </c>
      <c r="D39" s="5" t="s">
        <v>522</v>
      </c>
      <c r="E39" s="5" t="s">
        <v>522</v>
      </c>
      <c r="F39" t="b">
        <v>1</v>
      </c>
      <c r="G39" s="5" t="s">
        <v>522</v>
      </c>
      <c r="H39" t="s">
        <v>524</v>
      </c>
      <c r="I39" t="b">
        <v>1</v>
      </c>
    </row>
    <row r="40" spans="1:9">
      <c r="A40" s="1" t="s">
        <v>297</v>
      </c>
      <c r="B40" t="s">
        <v>524</v>
      </c>
      <c r="C40" t="str">
        <f t="shared" si="0"/>
        <v>GST_Harnil Oza</v>
      </c>
      <c r="D40" s="5" t="s">
        <v>522</v>
      </c>
      <c r="E40" s="5" t="s">
        <v>522</v>
      </c>
      <c r="F40" t="b">
        <v>1</v>
      </c>
      <c r="G40" s="5" t="s">
        <v>522</v>
      </c>
      <c r="H40" t="s">
        <v>524</v>
      </c>
      <c r="I40" t="b">
        <v>1</v>
      </c>
    </row>
    <row r="41" spans="1:9">
      <c r="A41" s="1" t="s">
        <v>281</v>
      </c>
      <c r="B41" t="s">
        <v>524</v>
      </c>
      <c r="C41" t="str">
        <f t="shared" si="0"/>
        <v>GST_Manjula M Jaiswal</v>
      </c>
      <c r="D41" s="5" t="s">
        <v>522</v>
      </c>
      <c r="E41" s="5" t="s">
        <v>522</v>
      </c>
      <c r="F41" t="b">
        <v>1</v>
      </c>
      <c r="G41" s="5" t="s">
        <v>522</v>
      </c>
      <c r="H41" t="s">
        <v>524</v>
      </c>
      <c r="I41" t="b">
        <v>1</v>
      </c>
    </row>
    <row r="42" spans="1:9">
      <c r="A42" s="1" t="s">
        <v>410</v>
      </c>
      <c r="B42" t="s">
        <v>524</v>
      </c>
      <c r="C42" t="str">
        <f t="shared" si="0"/>
        <v>GST_Gujarat Apollo Industries Ltd</v>
      </c>
      <c r="D42" s="5" t="s">
        <v>522</v>
      </c>
      <c r="E42" s="5" t="s">
        <v>522</v>
      </c>
      <c r="F42" t="b">
        <v>1</v>
      </c>
      <c r="G42" s="5" t="s">
        <v>522</v>
      </c>
      <c r="H42" t="s">
        <v>524</v>
      </c>
      <c r="I42" t="b">
        <v>1</v>
      </c>
    </row>
    <row r="43" spans="1:9">
      <c r="A43" s="1" t="s">
        <v>152</v>
      </c>
      <c r="B43" t="s">
        <v>524</v>
      </c>
      <c r="C43" t="str">
        <f t="shared" si="0"/>
        <v>GST_Kishor P Sompura</v>
      </c>
      <c r="D43" s="5" t="s">
        <v>522</v>
      </c>
      <c r="E43" s="5" t="s">
        <v>522</v>
      </c>
      <c r="F43" t="b">
        <v>1</v>
      </c>
      <c r="G43" s="5" t="s">
        <v>522</v>
      </c>
      <c r="H43" t="s">
        <v>524</v>
      </c>
      <c r="I43" t="b">
        <v>1</v>
      </c>
    </row>
    <row r="44" spans="1:9">
      <c r="A44" s="1" t="s">
        <v>346</v>
      </c>
      <c r="B44" t="s">
        <v>524</v>
      </c>
      <c r="C44" t="str">
        <f t="shared" si="0"/>
        <v>GST_Maheshwari Sales Corp</v>
      </c>
      <c r="D44" s="5" t="s">
        <v>522</v>
      </c>
      <c r="E44" s="5" t="s">
        <v>522</v>
      </c>
      <c r="F44" t="b">
        <v>1</v>
      </c>
      <c r="G44" s="5" t="s">
        <v>522</v>
      </c>
      <c r="H44" t="s">
        <v>524</v>
      </c>
      <c r="I44" t="b">
        <v>1</v>
      </c>
    </row>
    <row r="45" spans="1:9">
      <c r="A45" s="1" t="s">
        <v>171</v>
      </c>
      <c r="B45" t="s">
        <v>524</v>
      </c>
      <c r="C45" t="str">
        <f t="shared" si="0"/>
        <v>GST_Palval Hair Transplant Clinic</v>
      </c>
      <c r="D45" s="5" t="s">
        <v>522</v>
      </c>
      <c r="E45" s="5" t="s">
        <v>522</v>
      </c>
      <c r="F45" t="b">
        <v>1</v>
      </c>
      <c r="G45" s="5" t="s">
        <v>522</v>
      </c>
      <c r="H45" t="s">
        <v>524</v>
      </c>
      <c r="I45" t="b">
        <v>1</v>
      </c>
    </row>
    <row r="46" spans="1:9">
      <c r="A46" s="1" t="s">
        <v>12</v>
      </c>
      <c r="B46" t="s">
        <v>524</v>
      </c>
      <c r="C46" t="str">
        <f t="shared" si="0"/>
        <v>GST_Akik Tiles Ltd.</v>
      </c>
      <c r="D46" s="5" t="s">
        <v>522</v>
      </c>
      <c r="E46" s="5" t="s">
        <v>522</v>
      </c>
      <c r="F46" t="b">
        <v>1</v>
      </c>
      <c r="G46" s="5" t="s">
        <v>522</v>
      </c>
      <c r="H46" t="s">
        <v>524</v>
      </c>
      <c r="I46" t="b">
        <v>1</v>
      </c>
    </row>
    <row r="47" spans="1:9">
      <c r="A47" s="1" t="s">
        <v>319</v>
      </c>
      <c r="B47" t="s">
        <v>524</v>
      </c>
      <c r="C47" t="str">
        <f t="shared" si="0"/>
        <v>GST_Harnil Bhargav Oza</v>
      </c>
      <c r="D47" s="5" t="s">
        <v>522</v>
      </c>
      <c r="E47" s="5" t="s">
        <v>522</v>
      </c>
      <c r="F47" t="b">
        <v>1</v>
      </c>
      <c r="G47" s="5" t="s">
        <v>522</v>
      </c>
      <c r="H47" t="s">
        <v>524</v>
      </c>
      <c r="I47" t="b">
        <v>1</v>
      </c>
    </row>
    <row r="48" spans="1:9">
      <c r="A48" s="1" t="s">
        <v>211</v>
      </c>
      <c r="B48" t="s">
        <v>524</v>
      </c>
      <c r="C48" t="str">
        <f t="shared" si="0"/>
        <v>GST_Solderma Pharma</v>
      </c>
      <c r="D48" s="5" t="s">
        <v>522</v>
      </c>
      <c r="E48" s="5" t="s">
        <v>522</v>
      </c>
      <c r="F48" t="b">
        <v>1</v>
      </c>
      <c r="G48" s="5" t="s">
        <v>522</v>
      </c>
      <c r="H48" t="s">
        <v>524</v>
      </c>
      <c r="I48" t="b">
        <v>1</v>
      </c>
    </row>
    <row r="49" spans="1:9">
      <c r="A49" s="1" t="s">
        <v>185</v>
      </c>
      <c r="B49" t="s">
        <v>524</v>
      </c>
      <c r="C49" t="str">
        <f t="shared" si="0"/>
        <v>GST_Bharat Pesticides Industries Pv</v>
      </c>
      <c r="D49" s="5" t="s">
        <v>522</v>
      </c>
      <c r="E49" s="5" t="s">
        <v>522</v>
      </c>
      <c r="F49" t="b">
        <v>1</v>
      </c>
      <c r="G49" s="5" t="s">
        <v>522</v>
      </c>
      <c r="H49" t="s">
        <v>524</v>
      </c>
      <c r="I49" t="b">
        <v>1</v>
      </c>
    </row>
    <row r="50" spans="1:9">
      <c r="A50" s="1" t="s">
        <v>444</v>
      </c>
      <c r="B50" t="s">
        <v>524</v>
      </c>
      <c r="C50" t="str">
        <f t="shared" si="0"/>
        <v>GST_Letsnurture Infotech Pvt Ltd</v>
      </c>
      <c r="D50" s="5" t="s">
        <v>522</v>
      </c>
      <c r="E50" s="5" t="s">
        <v>522</v>
      </c>
      <c r="F50" t="b">
        <v>1</v>
      </c>
      <c r="G50" s="5" t="s">
        <v>522</v>
      </c>
      <c r="H50" t="s">
        <v>524</v>
      </c>
      <c r="I50" t="b">
        <v>1</v>
      </c>
    </row>
    <row r="51" spans="1:9">
      <c r="A51" s="1" t="s">
        <v>16</v>
      </c>
      <c r="B51" t="s">
        <v>524</v>
      </c>
      <c r="C51" t="str">
        <f t="shared" si="0"/>
        <v>GST_Astron Paper&amp;Board Ltd</v>
      </c>
      <c r="D51" s="5" t="s">
        <v>522</v>
      </c>
      <c r="E51" s="5" t="s">
        <v>522</v>
      </c>
      <c r="F51" t="b">
        <v>1</v>
      </c>
      <c r="G51" s="5" t="s">
        <v>522</v>
      </c>
      <c r="H51" t="s">
        <v>524</v>
      </c>
      <c r="I51" t="b">
        <v>1</v>
      </c>
    </row>
    <row r="52" spans="1:9">
      <c r="A52" s="1" t="s">
        <v>201</v>
      </c>
      <c r="B52" t="s">
        <v>524</v>
      </c>
      <c r="C52" t="str">
        <f t="shared" si="0"/>
        <v>GST_Mukeshbhai Panchal</v>
      </c>
      <c r="D52" s="5" t="s">
        <v>522</v>
      </c>
      <c r="E52" s="5" t="s">
        <v>522</v>
      </c>
      <c r="F52" t="b">
        <v>1</v>
      </c>
      <c r="G52" s="5" t="s">
        <v>522</v>
      </c>
      <c r="H52" t="s">
        <v>524</v>
      </c>
      <c r="I52" t="b">
        <v>1</v>
      </c>
    </row>
    <row r="53" spans="1:9">
      <c r="A53" s="1" t="s">
        <v>428</v>
      </c>
      <c r="B53" t="s">
        <v>524</v>
      </c>
      <c r="C53" t="str">
        <f t="shared" si="0"/>
        <v>GST_Daksaben Sureshbhai Prajapati</v>
      </c>
      <c r="D53" s="5" t="s">
        <v>522</v>
      </c>
      <c r="E53" s="5" t="s">
        <v>522</v>
      </c>
      <c r="F53" t="b">
        <v>1</v>
      </c>
      <c r="G53" s="5" t="s">
        <v>522</v>
      </c>
      <c r="H53" t="s">
        <v>524</v>
      </c>
      <c r="I53" t="b">
        <v>1</v>
      </c>
    </row>
    <row r="54" spans="1:9">
      <c r="A54" s="1" t="s">
        <v>448</v>
      </c>
      <c r="B54" t="s">
        <v>524</v>
      </c>
      <c r="C54" t="str">
        <f t="shared" si="0"/>
        <v xml:space="preserve">GST_Gauravkumar D Patel </v>
      </c>
      <c r="D54" s="5" t="s">
        <v>522</v>
      </c>
      <c r="E54" s="5" t="s">
        <v>522</v>
      </c>
      <c r="F54" t="b">
        <v>1</v>
      </c>
      <c r="G54" s="5" t="s">
        <v>522</v>
      </c>
      <c r="H54" t="s">
        <v>524</v>
      </c>
      <c r="I54" t="b">
        <v>1</v>
      </c>
    </row>
    <row r="55" spans="1:9">
      <c r="A55" s="1" t="s">
        <v>158</v>
      </c>
      <c r="B55" t="s">
        <v>524</v>
      </c>
      <c r="C55" t="str">
        <f t="shared" si="0"/>
        <v>GST_Niral Rashmikant Mehta</v>
      </c>
      <c r="D55" s="5" t="s">
        <v>522</v>
      </c>
      <c r="E55" s="5" t="s">
        <v>522</v>
      </c>
      <c r="F55" t="b">
        <v>1</v>
      </c>
      <c r="G55" s="5" t="s">
        <v>522</v>
      </c>
      <c r="H55" t="s">
        <v>524</v>
      </c>
      <c r="I55" t="b">
        <v>1</v>
      </c>
    </row>
    <row r="56" spans="1:9">
      <c r="A56" s="1" t="s">
        <v>273</v>
      </c>
      <c r="B56" t="s">
        <v>524</v>
      </c>
      <c r="C56" t="str">
        <f t="shared" si="0"/>
        <v>GST_Shreemali Daxaben Maheshbhai</v>
      </c>
      <c r="D56" s="5" t="s">
        <v>522</v>
      </c>
      <c r="E56" s="5" t="s">
        <v>522</v>
      </c>
      <c r="F56" t="b">
        <v>1</v>
      </c>
      <c r="G56" s="5" t="s">
        <v>522</v>
      </c>
      <c r="H56" t="s">
        <v>524</v>
      </c>
      <c r="I56" t="b">
        <v>1</v>
      </c>
    </row>
    <row r="57" spans="1:9">
      <c r="A57" s="1" t="s">
        <v>242</v>
      </c>
      <c r="B57" t="s">
        <v>524</v>
      </c>
      <c r="C57" t="str">
        <f t="shared" si="0"/>
        <v>GST_Nareshbhai Dahyabhai Patel</v>
      </c>
      <c r="D57" s="5" t="s">
        <v>522</v>
      </c>
      <c r="E57" s="5" t="s">
        <v>522</v>
      </c>
      <c r="F57" t="b">
        <v>1</v>
      </c>
      <c r="G57" s="5" t="s">
        <v>522</v>
      </c>
      <c r="H57" t="s">
        <v>524</v>
      </c>
      <c r="I57" t="b">
        <v>1</v>
      </c>
    </row>
    <row r="58" spans="1:9">
      <c r="A58" s="2" t="s">
        <v>20</v>
      </c>
      <c r="B58" t="s">
        <v>524</v>
      </c>
      <c r="C58" t="str">
        <f t="shared" si="0"/>
        <v>GST_Jitendra B Patel</v>
      </c>
      <c r="D58" s="5" t="s">
        <v>522</v>
      </c>
      <c r="E58" s="5" t="s">
        <v>522</v>
      </c>
      <c r="F58" t="b">
        <v>1</v>
      </c>
      <c r="G58" s="5" t="s">
        <v>522</v>
      </c>
      <c r="H58" t="s">
        <v>524</v>
      </c>
      <c r="I58" t="b">
        <v>1</v>
      </c>
    </row>
    <row r="59" spans="1:9">
      <c r="A59" s="2" t="s">
        <v>148</v>
      </c>
      <c r="B59" t="s">
        <v>524</v>
      </c>
      <c r="C59" t="str">
        <f t="shared" si="0"/>
        <v>GST_Nathalal Babulal Jani</v>
      </c>
      <c r="D59" s="5" t="s">
        <v>522</v>
      </c>
      <c r="E59" s="5" t="s">
        <v>522</v>
      </c>
      <c r="F59" t="b">
        <v>1</v>
      </c>
      <c r="G59" s="5" t="s">
        <v>522</v>
      </c>
      <c r="H59" t="s">
        <v>524</v>
      </c>
      <c r="I59" t="b">
        <v>1</v>
      </c>
    </row>
    <row r="60" spans="1:9">
      <c r="A60" s="1" t="s">
        <v>250</v>
      </c>
      <c r="B60" t="s">
        <v>524</v>
      </c>
      <c r="C60" t="str">
        <f t="shared" si="0"/>
        <v>GST_Harshaben Mineshbhai Solanki</v>
      </c>
      <c r="D60" s="5" t="s">
        <v>522</v>
      </c>
      <c r="E60" s="5" t="s">
        <v>522</v>
      </c>
      <c r="F60" t="b">
        <v>1</v>
      </c>
      <c r="G60" s="5" t="s">
        <v>522</v>
      </c>
      <c r="H60" t="s">
        <v>524</v>
      </c>
      <c r="I60" t="b">
        <v>1</v>
      </c>
    </row>
    <row r="61" spans="1:9">
      <c r="A61" s="1" t="s">
        <v>366</v>
      </c>
      <c r="B61" t="s">
        <v>524</v>
      </c>
      <c r="C61" t="str">
        <f t="shared" si="0"/>
        <v>GST_Shweta Suha</v>
      </c>
      <c r="D61" s="5" t="s">
        <v>522</v>
      </c>
      <c r="E61" s="5" t="s">
        <v>522</v>
      </c>
      <c r="F61" t="b">
        <v>1</v>
      </c>
      <c r="G61" s="5" t="s">
        <v>522</v>
      </c>
      <c r="H61" t="s">
        <v>524</v>
      </c>
      <c r="I61" t="b">
        <v>1</v>
      </c>
    </row>
    <row r="62" spans="1:9">
      <c r="A62" s="1" t="s">
        <v>233</v>
      </c>
      <c r="B62" t="s">
        <v>524</v>
      </c>
      <c r="C62" t="str">
        <f t="shared" si="0"/>
        <v xml:space="preserve">GST_Tribhovanbhai R Patel </v>
      </c>
      <c r="D62" s="5" t="s">
        <v>522</v>
      </c>
      <c r="E62" s="5" t="s">
        <v>522</v>
      </c>
      <c r="F62" t="b">
        <v>1</v>
      </c>
      <c r="G62" s="5" t="s">
        <v>522</v>
      </c>
      <c r="H62" t="s">
        <v>524</v>
      </c>
      <c r="I62" t="b">
        <v>1</v>
      </c>
    </row>
    <row r="63" spans="1:9">
      <c r="A63" s="1" t="s">
        <v>156</v>
      </c>
      <c r="B63" t="s">
        <v>524</v>
      </c>
      <c r="C63" t="str">
        <f t="shared" si="0"/>
        <v>GST_Mamtadevi Shreykumar Dugar</v>
      </c>
      <c r="D63" s="5" t="s">
        <v>522</v>
      </c>
      <c r="E63" s="5" t="s">
        <v>522</v>
      </c>
      <c r="F63" t="b">
        <v>1</v>
      </c>
      <c r="G63" s="5" t="s">
        <v>522</v>
      </c>
      <c r="H63" t="s">
        <v>524</v>
      </c>
      <c r="I63" t="b">
        <v>1</v>
      </c>
    </row>
    <row r="64" spans="1:9">
      <c r="A64" s="1" t="s">
        <v>463</v>
      </c>
      <c r="B64" t="s">
        <v>524</v>
      </c>
      <c r="C64" t="str">
        <f t="shared" si="0"/>
        <v>GST_Gujarat First</v>
      </c>
      <c r="D64" s="5" t="s">
        <v>522</v>
      </c>
      <c r="E64" s="5" t="s">
        <v>522</v>
      </c>
      <c r="F64" t="b">
        <v>1</v>
      </c>
      <c r="G64" s="5" t="s">
        <v>522</v>
      </c>
      <c r="H64" t="s">
        <v>524</v>
      </c>
      <c r="I64" t="b">
        <v>1</v>
      </c>
    </row>
    <row r="65" spans="1:9">
      <c r="A65" s="1" t="s">
        <v>420</v>
      </c>
      <c r="B65" t="s">
        <v>524</v>
      </c>
      <c r="C65" t="str">
        <f t="shared" si="0"/>
        <v>GST_Chetan Control System</v>
      </c>
      <c r="D65" s="5" t="s">
        <v>522</v>
      </c>
      <c r="E65" s="5" t="s">
        <v>522</v>
      </c>
      <c r="F65" t="b">
        <v>1</v>
      </c>
      <c r="G65" s="5" t="s">
        <v>522</v>
      </c>
      <c r="H65" t="s">
        <v>524</v>
      </c>
      <c r="I65" t="b">
        <v>1</v>
      </c>
    </row>
    <row r="66" spans="1:9">
      <c r="A66" s="1" t="s">
        <v>1</v>
      </c>
      <c r="B66" t="s">
        <v>524</v>
      </c>
      <c r="C66" t="str">
        <f t="shared" ref="C66:C129" si="1">B66&amp;"_"&amp;A66</f>
        <v>GST_Mitul Tradelink Pvt Ltd</v>
      </c>
      <c r="D66" s="5" t="s">
        <v>522</v>
      </c>
      <c r="E66" s="5" t="s">
        <v>522</v>
      </c>
      <c r="F66" t="b">
        <v>1</v>
      </c>
      <c r="G66" s="5" t="s">
        <v>522</v>
      </c>
      <c r="H66" t="s">
        <v>524</v>
      </c>
      <c r="I66" t="b">
        <v>1</v>
      </c>
    </row>
    <row r="67" spans="1:9">
      <c r="A67" s="1" t="s">
        <v>10</v>
      </c>
      <c r="B67" t="s">
        <v>524</v>
      </c>
      <c r="C67" t="str">
        <f t="shared" si="1"/>
        <v>GST_Maheshbhai Nayak</v>
      </c>
      <c r="D67" s="5" t="s">
        <v>522</v>
      </c>
      <c r="E67" s="5" t="s">
        <v>522</v>
      </c>
      <c r="F67" t="b">
        <v>1</v>
      </c>
      <c r="G67" s="5" t="s">
        <v>522</v>
      </c>
      <c r="H67" t="s">
        <v>524</v>
      </c>
      <c r="I67" t="b">
        <v>1</v>
      </c>
    </row>
    <row r="68" spans="1:9">
      <c r="A68" s="1" t="s">
        <v>321</v>
      </c>
      <c r="B68" t="s">
        <v>524</v>
      </c>
      <c r="C68" t="str">
        <f t="shared" si="1"/>
        <v>GST_MellAdmin Consultancy Pvt Ltd</v>
      </c>
      <c r="D68" s="5" t="s">
        <v>522</v>
      </c>
      <c r="E68" s="5" t="s">
        <v>522</v>
      </c>
      <c r="F68" t="b">
        <v>1</v>
      </c>
      <c r="G68" s="5" t="s">
        <v>522</v>
      </c>
      <c r="H68" t="s">
        <v>524</v>
      </c>
      <c r="I68" t="b">
        <v>1</v>
      </c>
    </row>
    <row r="69" spans="1:9">
      <c r="A69" s="1" t="s">
        <v>285</v>
      </c>
      <c r="B69" t="s">
        <v>524</v>
      </c>
      <c r="C69" t="str">
        <f t="shared" si="1"/>
        <v>GST_M_s. Shiv Corporation</v>
      </c>
      <c r="D69" s="5" t="s">
        <v>522</v>
      </c>
      <c r="E69" s="5" t="s">
        <v>522</v>
      </c>
      <c r="F69" t="b">
        <v>1</v>
      </c>
      <c r="G69" s="5" t="s">
        <v>522</v>
      </c>
      <c r="H69" t="s">
        <v>524</v>
      </c>
      <c r="I69" t="b">
        <v>1</v>
      </c>
    </row>
    <row r="70" spans="1:9">
      <c r="A70" s="1" t="s">
        <v>350</v>
      </c>
      <c r="B70" t="s">
        <v>524</v>
      </c>
      <c r="C70" t="str">
        <f t="shared" si="1"/>
        <v>GST_Jayanti N Katariya</v>
      </c>
      <c r="D70" s="5" t="s">
        <v>522</v>
      </c>
      <c r="E70" s="5" t="s">
        <v>522</v>
      </c>
      <c r="F70" t="b">
        <v>1</v>
      </c>
      <c r="G70" s="5" t="s">
        <v>522</v>
      </c>
      <c r="H70" t="s">
        <v>524</v>
      </c>
      <c r="I70" t="b">
        <v>1</v>
      </c>
    </row>
    <row r="71" spans="1:9">
      <c r="A71" s="1" t="s">
        <v>14</v>
      </c>
      <c r="B71" t="s">
        <v>524</v>
      </c>
      <c r="C71" t="str">
        <f t="shared" si="1"/>
        <v>GST_Sureshbhai R Patel</v>
      </c>
      <c r="D71" s="5" t="s">
        <v>522</v>
      </c>
      <c r="E71" s="5" t="s">
        <v>522</v>
      </c>
      <c r="F71" t="b">
        <v>1</v>
      </c>
      <c r="G71" s="5" t="s">
        <v>522</v>
      </c>
      <c r="H71" t="s">
        <v>524</v>
      </c>
      <c r="I71" t="b">
        <v>1</v>
      </c>
    </row>
    <row r="72" spans="1:9">
      <c r="A72" s="1" t="s">
        <v>240</v>
      </c>
      <c r="B72" t="s">
        <v>524</v>
      </c>
      <c r="C72" t="str">
        <f t="shared" si="1"/>
        <v>GST_Devang J Joshi</v>
      </c>
      <c r="D72" s="5" t="s">
        <v>522</v>
      </c>
      <c r="E72" s="5" t="s">
        <v>522</v>
      </c>
      <c r="F72" t="b">
        <v>1</v>
      </c>
      <c r="G72" s="5" t="s">
        <v>522</v>
      </c>
      <c r="H72" t="s">
        <v>524</v>
      </c>
      <c r="I72" t="b">
        <v>1</v>
      </c>
    </row>
    <row r="73" spans="1:9">
      <c r="A73" s="1" t="s">
        <v>325</v>
      </c>
      <c r="B73" t="s">
        <v>524</v>
      </c>
      <c r="C73" t="str">
        <f t="shared" si="1"/>
        <v>GST_MH Xorbian Tech Pvt Ltd</v>
      </c>
      <c r="D73" s="5" t="s">
        <v>522</v>
      </c>
      <c r="E73" s="5" t="s">
        <v>522</v>
      </c>
      <c r="F73" t="b">
        <v>1</v>
      </c>
      <c r="G73" s="5" t="s">
        <v>522</v>
      </c>
      <c r="H73" t="s">
        <v>524</v>
      </c>
      <c r="I73" t="b">
        <v>1</v>
      </c>
    </row>
    <row r="74" spans="1:9">
      <c r="A74" s="1" t="s">
        <v>263</v>
      </c>
      <c r="B74" t="s">
        <v>524</v>
      </c>
      <c r="C74" t="str">
        <f t="shared" si="1"/>
        <v>GST_Meenu Chandramohan Kumar</v>
      </c>
      <c r="D74" s="5" t="s">
        <v>522</v>
      </c>
      <c r="E74" s="5" t="s">
        <v>522</v>
      </c>
      <c r="F74" t="b">
        <v>1</v>
      </c>
      <c r="G74" s="5" t="s">
        <v>522</v>
      </c>
      <c r="H74" t="s">
        <v>524</v>
      </c>
      <c r="I74" t="b">
        <v>1</v>
      </c>
    </row>
    <row r="75" spans="1:9">
      <c r="A75" s="1" t="s">
        <v>317</v>
      </c>
      <c r="B75" t="s">
        <v>524</v>
      </c>
      <c r="C75" t="str">
        <f t="shared" si="1"/>
        <v>GST_Yogendra M Thakore</v>
      </c>
      <c r="D75" s="5" t="s">
        <v>522</v>
      </c>
      <c r="E75" s="5" t="s">
        <v>522</v>
      </c>
      <c r="F75" t="b">
        <v>1</v>
      </c>
      <c r="G75" s="5" t="s">
        <v>522</v>
      </c>
      <c r="H75" t="s">
        <v>524</v>
      </c>
      <c r="I75" t="b">
        <v>1</v>
      </c>
    </row>
    <row r="76" spans="1:9">
      <c r="A76" s="1" t="s">
        <v>438</v>
      </c>
      <c r="B76" t="s">
        <v>524</v>
      </c>
      <c r="C76" t="str">
        <f t="shared" si="1"/>
        <v>GST_Anuj Ashokkumar Modi</v>
      </c>
      <c r="D76" s="5" t="s">
        <v>522</v>
      </c>
      <c r="E76" s="5" t="s">
        <v>522</v>
      </c>
      <c r="F76" t="b">
        <v>1</v>
      </c>
      <c r="G76" s="5" t="s">
        <v>522</v>
      </c>
      <c r="H76" t="s">
        <v>524</v>
      </c>
      <c r="I76" t="b">
        <v>1</v>
      </c>
    </row>
    <row r="77" spans="1:9">
      <c r="A77" s="1" t="s">
        <v>393</v>
      </c>
      <c r="B77" t="s">
        <v>524</v>
      </c>
      <c r="C77" t="str">
        <f t="shared" si="1"/>
        <v>GST_Jaykumar Rajnikant Sitapara</v>
      </c>
      <c r="D77" s="5" t="s">
        <v>522</v>
      </c>
      <c r="E77" s="5" t="s">
        <v>522</v>
      </c>
      <c r="F77" t="b">
        <v>1</v>
      </c>
      <c r="G77" s="5" t="s">
        <v>522</v>
      </c>
      <c r="H77" t="s">
        <v>524</v>
      </c>
      <c r="I77" t="b">
        <v>1</v>
      </c>
    </row>
    <row r="78" spans="1:9">
      <c r="A78" s="1" t="s">
        <v>335</v>
      </c>
      <c r="B78" t="s">
        <v>524</v>
      </c>
      <c r="C78" t="str">
        <f t="shared" si="1"/>
        <v>GST_Multidots Solutions Pvt Ltd</v>
      </c>
      <c r="D78" s="5" t="s">
        <v>522</v>
      </c>
      <c r="E78" s="5" t="s">
        <v>522</v>
      </c>
      <c r="F78" t="b">
        <v>1</v>
      </c>
      <c r="G78" s="5" t="s">
        <v>522</v>
      </c>
      <c r="H78" t="s">
        <v>524</v>
      </c>
      <c r="I78" t="b">
        <v>1</v>
      </c>
    </row>
    <row r="79" spans="1:9">
      <c r="A79" s="1" t="s">
        <v>115</v>
      </c>
      <c r="B79" t="s">
        <v>524</v>
      </c>
      <c r="C79" t="str">
        <f t="shared" si="1"/>
        <v>GST_J.K. Plastopack P. Ltd</v>
      </c>
      <c r="D79" s="5" t="s">
        <v>522</v>
      </c>
      <c r="E79" s="5" t="s">
        <v>522</v>
      </c>
      <c r="F79" t="b">
        <v>1</v>
      </c>
      <c r="G79" s="5" t="s">
        <v>522</v>
      </c>
      <c r="H79" t="s">
        <v>524</v>
      </c>
      <c r="I79" t="b">
        <v>1</v>
      </c>
    </row>
    <row r="80" spans="1:9">
      <c r="A80" s="1" t="s">
        <v>22</v>
      </c>
      <c r="B80" t="s">
        <v>524</v>
      </c>
      <c r="C80" t="str">
        <f t="shared" si="1"/>
        <v>GST_S.A. Sumara</v>
      </c>
      <c r="D80" s="5" t="s">
        <v>522</v>
      </c>
      <c r="E80" s="5" t="s">
        <v>522</v>
      </c>
      <c r="F80" t="b">
        <v>1</v>
      </c>
      <c r="G80" s="5" t="s">
        <v>522</v>
      </c>
      <c r="H80" t="s">
        <v>524</v>
      </c>
      <c r="I80" t="b">
        <v>1</v>
      </c>
    </row>
    <row r="81" spans="1:9">
      <c r="A81" s="1" t="s">
        <v>389</v>
      </c>
      <c r="B81" t="s">
        <v>524</v>
      </c>
      <c r="C81" t="str">
        <f t="shared" si="1"/>
        <v>GST_Jagdish S Dholu</v>
      </c>
      <c r="D81" s="5" t="s">
        <v>522</v>
      </c>
      <c r="E81" s="5" t="s">
        <v>522</v>
      </c>
      <c r="F81" t="b">
        <v>1</v>
      </c>
      <c r="G81" s="5" t="s">
        <v>522</v>
      </c>
      <c r="H81" t="s">
        <v>524</v>
      </c>
      <c r="I81" t="b">
        <v>1</v>
      </c>
    </row>
    <row r="82" spans="1:9">
      <c r="A82" s="1" t="s">
        <v>213</v>
      </c>
      <c r="B82" t="s">
        <v>524</v>
      </c>
      <c r="C82" t="str">
        <f t="shared" si="1"/>
        <v>GST_Keshavlal Sohanlal Jain</v>
      </c>
      <c r="D82" s="5" t="s">
        <v>522</v>
      </c>
      <c r="E82" s="5" t="s">
        <v>522</v>
      </c>
      <c r="F82" t="b">
        <v>1</v>
      </c>
      <c r="G82" s="5" t="s">
        <v>522</v>
      </c>
      <c r="H82" t="s">
        <v>524</v>
      </c>
      <c r="I82" t="b">
        <v>1</v>
      </c>
    </row>
    <row r="83" spans="1:9">
      <c r="A83" s="1" t="s">
        <v>123</v>
      </c>
      <c r="B83" t="s">
        <v>524</v>
      </c>
      <c r="C83" t="str">
        <f t="shared" si="1"/>
        <v>GST_Mehsana Dist Co Op Milk Pro</v>
      </c>
      <c r="D83" s="5" t="s">
        <v>522</v>
      </c>
      <c r="E83" s="5" t="s">
        <v>522</v>
      </c>
      <c r="F83" t="b">
        <v>1</v>
      </c>
      <c r="G83" s="5" t="s">
        <v>522</v>
      </c>
      <c r="H83" t="s">
        <v>524</v>
      </c>
      <c r="I83" t="b">
        <v>1</v>
      </c>
    </row>
    <row r="84" spans="1:9">
      <c r="A84" s="1" t="s">
        <v>146</v>
      </c>
      <c r="B84" t="s">
        <v>524</v>
      </c>
      <c r="C84" t="str">
        <f t="shared" si="1"/>
        <v>GST_The Grid</v>
      </c>
      <c r="D84" s="5" t="s">
        <v>522</v>
      </c>
      <c r="E84" s="5" t="s">
        <v>522</v>
      </c>
      <c r="F84" t="b">
        <v>1</v>
      </c>
      <c r="G84" s="5" t="s">
        <v>522</v>
      </c>
      <c r="H84" t="s">
        <v>524</v>
      </c>
      <c r="I84" t="b">
        <v>1</v>
      </c>
    </row>
    <row r="85" spans="1:9">
      <c r="A85" s="1" t="s">
        <v>131</v>
      </c>
      <c r="B85" t="s">
        <v>524</v>
      </c>
      <c r="C85" t="str">
        <f t="shared" si="1"/>
        <v xml:space="preserve">GST_Dipak Chandulal Bhavsar </v>
      </c>
      <c r="D85" s="5" t="s">
        <v>522</v>
      </c>
      <c r="E85" s="5" t="s">
        <v>522</v>
      </c>
      <c r="F85" t="b">
        <v>1</v>
      </c>
      <c r="G85" s="5" t="s">
        <v>522</v>
      </c>
      <c r="H85" t="s">
        <v>524</v>
      </c>
      <c r="I85" t="b">
        <v>1</v>
      </c>
    </row>
    <row r="86" spans="1:9">
      <c r="A86" s="1" t="s">
        <v>235</v>
      </c>
      <c r="B86" t="s">
        <v>524</v>
      </c>
      <c r="C86" t="str">
        <f t="shared" si="1"/>
        <v>GST_Ramdev Resins Pvt Ltd</v>
      </c>
      <c r="D86" s="5" t="s">
        <v>522</v>
      </c>
      <c r="E86" s="5" t="s">
        <v>522</v>
      </c>
      <c r="F86" t="b">
        <v>1</v>
      </c>
      <c r="G86" s="5" t="s">
        <v>522</v>
      </c>
      <c r="H86" t="s">
        <v>524</v>
      </c>
      <c r="I86" t="b">
        <v>1</v>
      </c>
    </row>
    <row r="87" spans="1:9">
      <c r="A87" s="1" t="s">
        <v>412</v>
      </c>
      <c r="B87" t="s">
        <v>524</v>
      </c>
      <c r="C87" t="str">
        <f t="shared" si="1"/>
        <v>GST_Kumaresh K Trivedi</v>
      </c>
      <c r="D87" s="5" t="s">
        <v>522</v>
      </c>
      <c r="E87" s="5" t="s">
        <v>522</v>
      </c>
      <c r="F87" t="b">
        <v>1</v>
      </c>
      <c r="G87" s="5" t="s">
        <v>522</v>
      </c>
      <c r="H87" t="s">
        <v>524</v>
      </c>
      <c r="I87" t="b">
        <v>1</v>
      </c>
    </row>
    <row r="88" spans="1:9">
      <c r="A88" s="1" t="s">
        <v>387</v>
      </c>
      <c r="B88" t="s">
        <v>524</v>
      </c>
      <c r="C88" t="str">
        <f t="shared" si="1"/>
        <v>GST_Meenaben Ganpatbhai Patel</v>
      </c>
      <c r="D88" s="5" t="s">
        <v>522</v>
      </c>
      <c r="E88" s="5" t="s">
        <v>522</v>
      </c>
      <c r="F88" t="b">
        <v>1</v>
      </c>
      <c r="G88" s="5" t="s">
        <v>522</v>
      </c>
      <c r="H88" t="s">
        <v>524</v>
      </c>
      <c r="I88" t="b">
        <v>1</v>
      </c>
    </row>
    <row r="89" spans="1:9">
      <c r="A89" s="1" t="s">
        <v>144</v>
      </c>
      <c r="B89" t="s">
        <v>524</v>
      </c>
      <c r="C89" t="str">
        <f t="shared" si="1"/>
        <v xml:space="preserve">GST_Purvi Ashish Shah </v>
      </c>
      <c r="D89" s="5" t="s">
        <v>522</v>
      </c>
      <c r="E89" s="5" t="s">
        <v>522</v>
      </c>
      <c r="F89" t="b">
        <v>1</v>
      </c>
      <c r="G89" s="5" t="s">
        <v>522</v>
      </c>
      <c r="H89" t="s">
        <v>524</v>
      </c>
      <c r="I89" t="b">
        <v>1</v>
      </c>
    </row>
    <row r="90" spans="1:9">
      <c r="A90" s="1" t="s">
        <v>154</v>
      </c>
      <c r="B90" t="s">
        <v>524</v>
      </c>
      <c r="C90" t="str">
        <f t="shared" si="1"/>
        <v>GST_Jyotiba Bhavansinh Parmar</v>
      </c>
      <c r="D90" s="5" t="s">
        <v>522</v>
      </c>
      <c r="E90" s="5" t="s">
        <v>522</v>
      </c>
      <c r="F90" t="b">
        <v>1</v>
      </c>
      <c r="G90" s="5" t="s">
        <v>522</v>
      </c>
      <c r="H90" t="s">
        <v>524</v>
      </c>
      <c r="I90" t="b">
        <v>1</v>
      </c>
    </row>
    <row r="91" spans="1:9">
      <c r="A91" s="1" t="s">
        <v>3</v>
      </c>
      <c r="B91" t="s">
        <v>524</v>
      </c>
      <c r="C91" t="str">
        <f t="shared" si="1"/>
        <v>GST_MAP Refoils India Ltd</v>
      </c>
      <c r="D91" s="5" t="s">
        <v>522</v>
      </c>
      <c r="E91" s="5" t="s">
        <v>522</v>
      </c>
      <c r="F91" t="b">
        <v>1</v>
      </c>
      <c r="G91" s="5" t="s">
        <v>522</v>
      </c>
      <c r="H91" t="s">
        <v>524</v>
      </c>
      <c r="I91" t="b">
        <v>1</v>
      </c>
    </row>
    <row r="92" spans="1:9">
      <c r="A92" s="1" t="s">
        <v>408</v>
      </c>
      <c r="B92" t="s">
        <v>524</v>
      </c>
      <c r="C92" t="str">
        <f t="shared" si="1"/>
        <v>GST_Ranjanben M. Parmar</v>
      </c>
      <c r="D92" s="5" t="s">
        <v>522</v>
      </c>
      <c r="E92" s="5" t="s">
        <v>522</v>
      </c>
      <c r="F92" t="b">
        <v>1</v>
      </c>
      <c r="G92" s="5" t="s">
        <v>522</v>
      </c>
      <c r="H92" t="s">
        <v>524</v>
      </c>
      <c r="I92" t="b">
        <v>1</v>
      </c>
    </row>
    <row r="93" spans="1:9">
      <c r="A93" s="1" t="s">
        <v>129</v>
      </c>
      <c r="B93" t="s">
        <v>524</v>
      </c>
      <c r="C93" t="str">
        <f t="shared" si="1"/>
        <v>GST_Nirmalaben Balkrushna Thakkar</v>
      </c>
      <c r="D93" s="5" t="s">
        <v>522</v>
      </c>
      <c r="E93" s="5" t="s">
        <v>522</v>
      </c>
      <c r="F93" t="b">
        <v>1</v>
      </c>
      <c r="G93" s="5" t="s">
        <v>522</v>
      </c>
      <c r="H93" t="s">
        <v>524</v>
      </c>
      <c r="I93" t="b">
        <v>1</v>
      </c>
    </row>
    <row r="94" spans="1:9">
      <c r="A94" s="1" t="s">
        <v>452</v>
      </c>
      <c r="B94" t="s">
        <v>524</v>
      </c>
      <c r="C94" t="str">
        <f t="shared" si="1"/>
        <v>GST_Patel Vipul Parshottambhai</v>
      </c>
      <c r="D94" s="5" t="s">
        <v>522</v>
      </c>
      <c r="E94" s="5" t="s">
        <v>522</v>
      </c>
      <c r="F94" t="b">
        <v>1</v>
      </c>
      <c r="G94" s="5" t="s">
        <v>522</v>
      </c>
      <c r="H94" t="s">
        <v>524</v>
      </c>
      <c r="I94" t="b">
        <v>1</v>
      </c>
    </row>
    <row r="95" spans="1:9">
      <c r="A95" s="1" t="s">
        <v>303</v>
      </c>
      <c r="B95" t="s">
        <v>524</v>
      </c>
      <c r="C95" t="str">
        <f t="shared" si="1"/>
        <v xml:space="preserve">GST_Hiren M Patel </v>
      </c>
      <c r="D95" s="5" t="s">
        <v>522</v>
      </c>
      <c r="E95" s="5" t="s">
        <v>522</v>
      </c>
      <c r="F95" t="b">
        <v>1</v>
      </c>
      <c r="G95" s="5" t="s">
        <v>522</v>
      </c>
      <c r="H95" t="s">
        <v>524</v>
      </c>
      <c r="I95" t="b">
        <v>1</v>
      </c>
    </row>
    <row r="96" spans="1:9">
      <c r="A96" s="1" t="s">
        <v>313</v>
      </c>
      <c r="B96" t="s">
        <v>524</v>
      </c>
      <c r="C96" t="str">
        <f t="shared" si="1"/>
        <v>GST_Vinodbhai</v>
      </c>
      <c r="D96" s="5" t="s">
        <v>522</v>
      </c>
      <c r="E96" s="5" t="s">
        <v>522</v>
      </c>
      <c r="F96" t="b">
        <v>1</v>
      </c>
      <c r="G96" s="5" t="s">
        <v>522</v>
      </c>
      <c r="H96" t="s">
        <v>524</v>
      </c>
      <c r="I96" t="b">
        <v>1</v>
      </c>
    </row>
    <row r="97" spans="1:9">
      <c r="A97" s="1" t="s">
        <v>205</v>
      </c>
      <c r="B97" t="s">
        <v>524</v>
      </c>
      <c r="C97" t="str">
        <f t="shared" si="1"/>
        <v>GST_Arovea Technologies</v>
      </c>
      <c r="D97" s="5" t="s">
        <v>522</v>
      </c>
      <c r="E97" s="5" t="s">
        <v>522</v>
      </c>
      <c r="F97" t="b">
        <v>1</v>
      </c>
      <c r="G97" s="5" t="s">
        <v>522</v>
      </c>
      <c r="H97" t="s">
        <v>524</v>
      </c>
      <c r="I97" t="b">
        <v>1</v>
      </c>
    </row>
    <row r="98" spans="1:9">
      <c r="A98" s="1" t="s">
        <v>391</v>
      </c>
      <c r="B98" t="s">
        <v>524</v>
      </c>
      <c r="C98" t="str">
        <f t="shared" si="1"/>
        <v>GST_Manjulaben Thakkar</v>
      </c>
      <c r="D98" s="5" t="s">
        <v>522</v>
      </c>
      <c r="E98" s="5" t="s">
        <v>522</v>
      </c>
      <c r="F98" t="b">
        <v>1</v>
      </c>
      <c r="G98" s="5" t="s">
        <v>522</v>
      </c>
      <c r="H98" t="s">
        <v>524</v>
      </c>
      <c r="I98" t="b">
        <v>1</v>
      </c>
    </row>
    <row r="99" spans="1:9">
      <c r="A99" s="1" t="s">
        <v>160</v>
      </c>
      <c r="B99" t="s">
        <v>524</v>
      </c>
      <c r="C99" t="str">
        <f t="shared" si="1"/>
        <v>GST_Shivraj Trade Mark Pvt Ltd</v>
      </c>
      <c r="D99" s="5" t="s">
        <v>522</v>
      </c>
      <c r="E99" s="5" t="s">
        <v>522</v>
      </c>
      <c r="F99" t="b">
        <v>1</v>
      </c>
      <c r="G99" s="5" t="s">
        <v>522</v>
      </c>
      <c r="H99" t="s">
        <v>524</v>
      </c>
      <c r="I99" t="b">
        <v>1</v>
      </c>
    </row>
    <row r="100" spans="1:9">
      <c r="A100" s="1" t="s">
        <v>416</v>
      </c>
      <c r="B100" t="s">
        <v>524</v>
      </c>
      <c r="C100" t="str">
        <f t="shared" si="1"/>
        <v>GST_Satvam Nutrifoods</v>
      </c>
      <c r="D100" s="5" t="s">
        <v>522</v>
      </c>
      <c r="E100" s="5" t="s">
        <v>522</v>
      </c>
      <c r="F100" t="b">
        <v>1</v>
      </c>
      <c r="G100" s="5" t="s">
        <v>522</v>
      </c>
      <c r="H100" t="s">
        <v>524</v>
      </c>
      <c r="I100" t="b">
        <v>1</v>
      </c>
    </row>
    <row r="101" spans="1:9">
      <c r="A101" s="1" t="s">
        <v>352</v>
      </c>
      <c r="B101" t="s">
        <v>524</v>
      </c>
      <c r="C101" t="str">
        <f t="shared" si="1"/>
        <v>GST_Dinesh Manoharlal Bhojwani</v>
      </c>
      <c r="D101" s="5" t="s">
        <v>522</v>
      </c>
      <c r="E101" s="5" t="s">
        <v>522</v>
      </c>
      <c r="F101" t="b">
        <v>1</v>
      </c>
      <c r="G101" s="5" t="s">
        <v>522</v>
      </c>
      <c r="H101" t="s">
        <v>524</v>
      </c>
      <c r="I101" t="b">
        <v>1</v>
      </c>
    </row>
    <row r="102" spans="1:9">
      <c r="A102" s="1" t="s">
        <v>348</v>
      </c>
      <c r="B102" t="s">
        <v>524</v>
      </c>
      <c r="C102" t="str">
        <f t="shared" si="1"/>
        <v xml:space="preserve">GST_Vikram M Merani </v>
      </c>
      <c r="D102" s="5" t="s">
        <v>522</v>
      </c>
      <c r="E102" s="5" t="s">
        <v>522</v>
      </c>
      <c r="F102" t="b">
        <v>1</v>
      </c>
      <c r="G102" s="5" t="s">
        <v>522</v>
      </c>
      <c r="H102" t="s">
        <v>524</v>
      </c>
      <c r="I102" t="b">
        <v>1</v>
      </c>
    </row>
    <row r="103" spans="1:9">
      <c r="A103" s="1" t="s">
        <v>191</v>
      </c>
      <c r="B103" t="s">
        <v>524</v>
      </c>
      <c r="C103" t="str">
        <f t="shared" si="1"/>
        <v>GST_Dilipbhai Patel</v>
      </c>
      <c r="D103" s="5" t="s">
        <v>522</v>
      </c>
      <c r="E103" s="5" t="s">
        <v>522</v>
      </c>
      <c r="F103" t="b">
        <v>1</v>
      </c>
      <c r="G103" s="5" t="s">
        <v>522</v>
      </c>
      <c r="H103" t="s">
        <v>524</v>
      </c>
      <c r="I103" t="b">
        <v>1</v>
      </c>
    </row>
    <row r="104" spans="1:9">
      <c r="A104" s="1" t="s">
        <v>238</v>
      </c>
      <c r="B104" t="s">
        <v>524</v>
      </c>
      <c r="C104" t="str">
        <f t="shared" si="1"/>
        <v xml:space="preserve">GST_Darshan R Patel </v>
      </c>
      <c r="D104" s="5" t="s">
        <v>522</v>
      </c>
      <c r="E104" s="5" t="s">
        <v>522</v>
      </c>
      <c r="F104" t="b">
        <v>1</v>
      </c>
      <c r="G104" s="5" t="s">
        <v>522</v>
      </c>
      <c r="H104" t="s">
        <v>524</v>
      </c>
      <c r="I104" t="b">
        <v>1</v>
      </c>
    </row>
    <row r="105" spans="1:9">
      <c r="A105" s="1" t="s">
        <v>177</v>
      </c>
      <c r="B105" t="s">
        <v>524</v>
      </c>
      <c r="C105" t="str">
        <f t="shared" si="1"/>
        <v>GST_Hansaben Amrutbhai Patel</v>
      </c>
      <c r="D105" s="5" t="s">
        <v>522</v>
      </c>
      <c r="E105" s="5" t="s">
        <v>522</v>
      </c>
      <c r="F105" t="b">
        <v>1</v>
      </c>
      <c r="G105" s="5" t="s">
        <v>522</v>
      </c>
      <c r="H105" t="s">
        <v>524</v>
      </c>
      <c r="I105" t="b">
        <v>1</v>
      </c>
    </row>
    <row r="106" spans="1:9">
      <c r="A106" s="1" t="s">
        <v>175</v>
      </c>
      <c r="B106" t="s">
        <v>524</v>
      </c>
      <c r="C106" t="str">
        <f t="shared" si="1"/>
        <v>GST_Nirav Vishnubhai Patel</v>
      </c>
      <c r="D106" s="5" t="s">
        <v>522</v>
      </c>
      <c r="E106" s="5" t="s">
        <v>522</v>
      </c>
      <c r="F106" t="b">
        <v>1</v>
      </c>
      <c r="G106" s="5" t="s">
        <v>522</v>
      </c>
      <c r="H106" t="s">
        <v>524</v>
      </c>
      <c r="I106" t="b">
        <v>1</v>
      </c>
    </row>
    <row r="107" spans="1:9">
      <c r="A107" s="1" t="s">
        <v>117</v>
      </c>
      <c r="B107" t="s">
        <v>524</v>
      </c>
      <c r="C107" t="str">
        <f t="shared" si="1"/>
        <v>GST_Kamlaben Patel</v>
      </c>
      <c r="D107" s="5" t="s">
        <v>522</v>
      </c>
      <c r="E107" s="5" t="s">
        <v>522</v>
      </c>
      <c r="F107" t="b">
        <v>1</v>
      </c>
      <c r="G107" s="5" t="s">
        <v>522</v>
      </c>
      <c r="H107" t="s">
        <v>524</v>
      </c>
      <c r="I107" t="b">
        <v>1</v>
      </c>
    </row>
    <row r="108" spans="1:9">
      <c r="A108" s="1" t="s">
        <v>203</v>
      </c>
      <c r="B108" t="s">
        <v>524</v>
      </c>
      <c r="C108" t="str">
        <f t="shared" si="1"/>
        <v xml:space="preserve">GST_Vinod Chamanlal Vaishnavi </v>
      </c>
      <c r="D108" s="5" t="s">
        <v>522</v>
      </c>
      <c r="E108" s="5" t="s">
        <v>522</v>
      </c>
      <c r="F108" t="b">
        <v>1</v>
      </c>
      <c r="G108" s="5" t="s">
        <v>522</v>
      </c>
      <c r="H108" t="s">
        <v>524</v>
      </c>
      <c r="I108" t="b">
        <v>1</v>
      </c>
    </row>
    <row r="109" spans="1:9">
      <c r="A109" s="1" t="s">
        <v>150</v>
      </c>
      <c r="B109" t="s">
        <v>524</v>
      </c>
      <c r="C109" t="str">
        <f t="shared" si="1"/>
        <v>GST_Nirav M Patel</v>
      </c>
      <c r="D109" s="5" t="s">
        <v>522</v>
      </c>
      <c r="E109" s="5" t="s">
        <v>522</v>
      </c>
      <c r="F109" t="b">
        <v>1</v>
      </c>
      <c r="G109" s="5" t="s">
        <v>522</v>
      </c>
      <c r="H109" t="s">
        <v>524</v>
      </c>
      <c r="I109" t="b">
        <v>1</v>
      </c>
    </row>
    <row r="110" spans="1:9">
      <c r="A110" s="1" t="s">
        <v>8</v>
      </c>
      <c r="B110" t="s">
        <v>524</v>
      </c>
      <c r="C110" t="str">
        <f t="shared" si="1"/>
        <v>GST_JSIW Infrastructure P. Ltd</v>
      </c>
      <c r="D110" s="5" t="s">
        <v>522</v>
      </c>
      <c r="E110" s="5" t="s">
        <v>522</v>
      </c>
      <c r="F110" t="b">
        <v>1</v>
      </c>
      <c r="G110" s="5" t="s">
        <v>522</v>
      </c>
      <c r="H110" t="s">
        <v>524</v>
      </c>
      <c r="I110" t="b">
        <v>1</v>
      </c>
    </row>
    <row r="111" spans="1:9">
      <c r="A111" s="1" t="s">
        <v>333</v>
      </c>
      <c r="B111" t="s">
        <v>524</v>
      </c>
      <c r="C111" t="str">
        <f t="shared" si="1"/>
        <v>GST_A-J Tarunkumar Virchand Shah Huf</v>
      </c>
      <c r="D111" s="5" t="s">
        <v>522</v>
      </c>
      <c r="E111" s="5" t="s">
        <v>522</v>
      </c>
      <c r="F111" t="b">
        <v>1</v>
      </c>
      <c r="G111" s="5" t="s">
        <v>522</v>
      </c>
      <c r="H111" t="s">
        <v>524</v>
      </c>
      <c r="I111" t="b">
        <v>1</v>
      </c>
    </row>
    <row r="112" spans="1:9">
      <c r="A112" s="1" t="s">
        <v>133</v>
      </c>
      <c r="B112" t="s">
        <v>524</v>
      </c>
      <c r="C112" t="str">
        <f t="shared" si="1"/>
        <v xml:space="preserve">GST_Mr. Alpeshbhai Babubhai Patel </v>
      </c>
      <c r="D112" s="5" t="s">
        <v>522</v>
      </c>
      <c r="E112" s="5" t="s">
        <v>522</v>
      </c>
      <c r="F112" t="b">
        <v>1</v>
      </c>
      <c r="G112" s="5" t="s">
        <v>522</v>
      </c>
      <c r="H112" t="s">
        <v>524</v>
      </c>
      <c r="I112" t="b">
        <v>1</v>
      </c>
    </row>
    <row r="113" spans="1:9">
      <c r="A113" s="1" t="s">
        <v>221</v>
      </c>
      <c r="B113" t="s">
        <v>524</v>
      </c>
      <c r="C113" t="str">
        <f t="shared" si="1"/>
        <v>GST_Nisarg Jashwantbhai Patel</v>
      </c>
      <c r="D113" s="5" t="s">
        <v>522</v>
      </c>
      <c r="E113" s="5" t="s">
        <v>522</v>
      </c>
      <c r="F113" t="b">
        <v>1</v>
      </c>
      <c r="G113" s="5" t="s">
        <v>522</v>
      </c>
      <c r="H113" t="s">
        <v>524</v>
      </c>
      <c r="I113" t="b">
        <v>1</v>
      </c>
    </row>
    <row r="114" spans="1:9">
      <c r="A114" s="1" t="s">
        <v>40</v>
      </c>
      <c r="B114" t="s">
        <v>524</v>
      </c>
      <c r="C114" t="str">
        <f t="shared" si="1"/>
        <v>GST_Manishaben Shah</v>
      </c>
      <c r="D114" s="5" t="s">
        <v>522</v>
      </c>
      <c r="E114" s="5" t="s">
        <v>522</v>
      </c>
      <c r="F114" t="b">
        <v>1</v>
      </c>
      <c r="G114" s="5" t="s">
        <v>522</v>
      </c>
      <c r="H114" t="s">
        <v>524</v>
      </c>
      <c r="I114" t="b">
        <v>1</v>
      </c>
    </row>
    <row r="115" spans="1:9">
      <c r="A115" s="1" t="s">
        <v>199</v>
      </c>
      <c r="B115" t="s">
        <v>524</v>
      </c>
      <c r="C115" t="str">
        <f t="shared" si="1"/>
        <v>GST_Maheshsingh Kushwah</v>
      </c>
      <c r="D115" s="5" t="s">
        <v>522</v>
      </c>
      <c r="E115" s="5" t="s">
        <v>522</v>
      </c>
      <c r="F115" t="b">
        <v>1</v>
      </c>
      <c r="G115" s="5" t="s">
        <v>522</v>
      </c>
      <c r="H115" t="s">
        <v>524</v>
      </c>
      <c r="I115" t="b">
        <v>1</v>
      </c>
    </row>
    <row r="116" spans="1:9">
      <c r="A116" s="1" t="s">
        <v>225</v>
      </c>
      <c r="B116" t="s">
        <v>524</v>
      </c>
      <c r="C116" t="str">
        <f t="shared" si="1"/>
        <v>GST_Jayesh Jayantibhai Patel</v>
      </c>
      <c r="D116" s="5" t="s">
        <v>522</v>
      </c>
      <c r="E116" s="5" t="s">
        <v>522</v>
      </c>
      <c r="F116" t="b">
        <v>1</v>
      </c>
      <c r="G116" s="5" t="s">
        <v>522</v>
      </c>
      <c r="H116" t="s">
        <v>524</v>
      </c>
      <c r="I116" t="b">
        <v>1</v>
      </c>
    </row>
    <row r="117" spans="1:9">
      <c r="A117" s="1" t="s">
        <v>374</v>
      </c>
      <c r="B117" t="s">
        <v>524</v>
      </c>
      <c r="C117" t="str">
        <f t="shared" si="1"/>
        <v>GST_Pradipkumar Gupta</v>
      </c>
      <c r="D117" s="5" t="s">
        <v>522</v>
      </c>
      <c r="E117" s="5" t="s">
        <v>522</v>
      </c>
      <c r="F117" t="b">
        <v>1</v>
      </c>
      <c r="G117" s="5" t="s">
        <v>522</v>
      </c>
      <c r="H117" t="s">
        <v>524</v>
      </c>
      <c r="I117" t="b">
        <v>1</v>
      </c>
    </row>
    <row r="118" spans="1:9">
      <c r="A118" s="1" t="s">
        <v>398</v>
      </c>
      <c r="B118" t="s">
        <v>524</v>
      </c>
      <c r="C118" t="str">
        <f t="shared" si="1"/>
        <v>GST_Ravi Prakash Nandubhai Patel</v>
      </c>
      <c r="D118" s="5" t="s">
        <v>522</v>
      </c>
      <c r="E118" s="5" t="s">
        <v>522</v>
      </c>
      <c r="F118" t="b">
        <v>1</v>
      </c>
      <c r="G118" s="5" t="s">
        <v>522</v>
      </c>
      <c r="H118" t="s">
        <v>524</v>
      </c>
      <c r="I118" t="b">
        <v>1</v>
      </c>
    </row>
    <row r="119" spans="1:9">
      <c r="A119" s="1" t="s">
        <v>215</v>
      </c>
      <c r="B119" t="s">
        <v>524</v>
      </c>
      <c r="C119" t="str">
        <f t="shared" si="1"/>
        <v>GST_Diamond Infracom</v>
      </c>
      <c r="D119" s="5" t="s">
        <v>522</v>
      </c>
      <c r="E119" s="5" t="s">
        <v>522</v>
      </c>
      <c r="F119" t="b">
        <v>1</v>
      </c>
      <c r="G119" s="5" t="s">
        <v>522</v>
      </c>
      <c r="H119" t="s">
        <v>524</v>
      </c>
      <c r="I119" t="b">
        <v>1</v>
      </c>
    </row>
    <row r="120" spans="1:9">
      <c r="A120" s="1" t="s">
        <v>36</v>
      </c>
      <c r="B120" t="s">
        <v>524</v>
      </c>
      <c r="C120" t="str">
        <f t="shared" si="1"/>
        <v>GST_Devashish Trivedi</v>
      </c>
      <c r="D120" s="5" t="s">
        <v>522</v>
      </c>
      <c r="E120" s="5" t="s">
        <v>522</v>
      </c>
      <c r="F120" t="b">
        <v>1</v>
      </c>
      <c r="G120" s="5" t="s">
        <v>522</v>
      </c>
      <c r="H120" t="s">
        <v>524</v>
      </c>
      <c r="I120" t="b">
        <v>1</v>
      </c>
    </row>
    <row r="121" spans="1:9">
      <c r="A121" s="1" t="s">
        <v>376</v>
      </c>
      <c r="B121" t="s">
        <v>524</v>
      </c>
      <c r="C121" t="str">
        <f t="shared" si="1"/>
        <v>GST_Meenu Pradip Gupta</v>
      </c>
      <c r="D121" s="5" t="s">
        <v>522</v>
      </c>
      <c r="E121" s="5" t="s">
        <v>522</v>
      </c>
      <c r="F121" t="b">
        <v>1</v>
      </c>
      <c r="G121" s="5" t="s">
        <v>522</v>
      </c>
      <c r="H121" t="s">
        <v>524</v>
      </c>
      <c r="I121" t="b">
        <v>1</v>
      </c>
    </row>
    <row r="122" spans="1:9">
      <c r="A122" s="1" t="s">
        <v>265</v>
      </c>
      <c r="B122" t="s">
        <v>524</v>
      </c>
      <c r="C122" t="str">
        <f t="shared" si="1"/>
        <v>GST_Pratibhaben Ajaykumar Shah</v>
      </c>
      <c r="D122" s="5" t="s">
        <v>522</v>
      </c>
      <c r="E122" s="5" t="s">
        <v>522</v>
      </c>
      <c r="F122" t="b">
        <v>1</v>
      </c>
      <c r="G122" s="5" t="s">
        <v>522</v>
      </c>
      <c r="H122" t="s">
        <v>524</v>
      </c>
      <c r="I122" t="b">
        <v>1</v>
      </c>
    </row>
    <row r="123" spans="1:9">
      <c r="A123" s="1" t="s">
        <v>368</v>
      </c>
      <c r="B123" t="s">
        <v>524</v>
      </c>
      <c r="C123" t="str">
        <f t="shared" si="1"/>
        <v>GST_Shardaben B Kavathiya</v>
      </c>
      <c r="D123" s="5" t="s">
        <v>522</v>
      </c>
      <c r="E123" s="5" t="s">
        <v>522</v>
      </c>
      <c r="F123" t="b">
        <v>1</v>
      </c>
      <c r="G123" s="5" t="s">
        <v>522</v>
      </c>
      <c r="H123" t="s">
        <v>524</v>
      </c>
      <c r="I123" t="b">
        <v>1</v>
      </c>
    </row>
    <row r="124" spans="1:9">
      <c r="A124" s="1" t="s">
        <v>248</v>
      </c>
      <c r="B124" t="s">
        <v>524</v>
      </c>
      <c r="C124" t="str">
        <f t="shared" si="1"/>
        <v>GST_Mithilesh Singh</v>
      </c>
      <c r="D124" s="5" t="s">
        <v>522</v>
      </c>
      <c r="E124" s="5" t="s">
        <v>522</v>
      </c>
      <c r="F124" t="b">
        <v>1</v>
      </c>
      <c r="G124" s="5" t="s">
        <v>522</v>
      </c>
      <c r="H124" t="s">
        <v>524</v>
      </c>
      <c r="I124" t="b">
        <v>1</v>
      </c>
    </row>
    <row r="125" spans="1:9">
      <c r="A125" s="1" t="s">
        <v>229</v>
      </c>
      <c r="B125" t="s">
        <v>524</v>
      </c>
      <c r="C125" t="str">
        <f t="shared" si="1"/>
        <v>GST_Piyush N Shah</v>
      </c>
      <c r="D125" s="5" t="s">
        <v>522</v>
      </c>
      <c r="E125" s="5" t="s">
        <v>522</v>
      </c>
      <c r="F125" t="b">
        <v>1</v>
      </c>
      <c r="G125" s="5" t="s">
        <v>522</v>
      </c>
      <c r="H125" t="s">
        <v>524</v>
      </c>
      <c r="I125" t="b">
        <v>1</v>
      </c>
    </row>
    <row r="126" spans="1:9">
      <c r="A126" s="1" t="s">
        <v>430</v>
      </c>
      <c r="B126" t="s">
        <v>524</v>
      </c>
      <c r="C126" t="str">
        <f t="shared" si="1"/>
        <v>GST_Rajkumar Patel</v>
      </c>
      <c r="D126" s="5" t="s">
        <v>522</v>
      </c>
      <c r="E126" s="5" t="s">
        <v>522</v>
      </c>
      <c r="F126" t="b">
        <v>1</v>
      </c>
      <c r="G126" s="5" t="s">
        <v>522</v>
      </c>
      <c r="H126" t="s">
        <v>524</v>
      </c>
      <c r="I126" t="b">
        <v>1</v>
      </c>
    </row>
    <row r="127" spans="1:9">
      <c r="A127" s="1" t="s">
        <v>257</v>
      </c>
      <c r="B127" t="s">
        <v>524</v>
      </c>
      <c r="C127" t="str">
        <f t="shared" si="1"/>
        <v>GST_Kanchanben Pukhraj Shah</v>
      </c>
      <c r="D127" s="5" t="s">
        <v>522</v>
      </c>
      <c r="E127" s="5" t="s">
        <v>522</v>
      </c>
      <c r="F127" t="b">
        <v>1</v>
      </c>
      <c r="G127" s="5" t="s">
        <v>522</v>
      </c>
      <c r="H127" t="s">
        <v>524</v>
      </c>
      <c r="I127" t="b">
        <v>1</v>
      </c>
    </row>
    <row r="128" spans="1:9">
      <c r="A128" s="1" t="s">
        <v>338</v>
      </c>
      <c r="B128" t="s">
        <v>524</v>
      </c>
      <c r="C128" t="str">
        <f t="shared" si="1"/>
        <v>GST_KnAdminnsense Studios LLP</v>
      </c>
      <c r="D128" s="5" t="s">
        <v>522</v>
      </c>
      <c r="E128" s="5" t="s">
        <v>522</v>
      </c>
      <c r="F128" t="b">
        <v>1</v>
      </c>
      <c r="G128" s="5" t="s">
        <v>522</v>
      </c>
      <c r="H128" t="s">
        <v>524</v>
      </c>
      <c r="I128" t="b">
        <v>1</v>
      </c>
    </row>
    <row r="129" spans="1:9">
      <c r="A129" s="1" t="s">
        <v>329</v>
      </c>
      <c r="B129" t="s">
        <v>524</v>
      </c>
      <c r="C129" t="str">
        <f t="shared" si="1"/>
        <v>GST_Monil Hasmukhbhai Parikh HUF</v>
      </c>
      <c r="D129" s="5" t="s">
        <v>522</v>
      </c>
      <c r="E129" s="5" t="s">
        <v>522</v>
      </c>
      <c r="F129" t="b">
        <v>1</v>
      </c>
      <c r="G129" s="5" t="s">
        <v>522</v>
      </c>
      <c r="H129" t="s">
        <v>524</v>
      </c>
      <c r="I129" t="b">
        <v>1</v>
      </c>
    </row>
    <row r="130" spans="1:9">
      <c r="A130" s="1" t="s">
        <v>289</v>
      </c>
      <c r="B130" t="s">
        <v>524</v>
      </c>
      <c r="C130" t="str">
        <f t="shared" ref="C130:C193" si="2">B130&amp;"_"&amp;A130</f>
        <v>GST_Ravindra Purshottamdas Patel</v>
      </c>
      <c r="D130" s="5" t="s">
        <v>522</v>
      </c>
      <c r="E130" s="5" t="s">
        <v>522</v>
      </c>
      <c r="F130" t="b">
        <v>1</v>
      </c>
      <c r="G130" s="5" t="s">
        <v>522</v>
      </c>
      <c r="H130" t="s">
        <v>524</v>
      </c>
      <c r="I130" t="b">
        <v>1</v>
      </c>
    </row>
    <row r="131" spans="1:9">
      <c r="A131" s="1" t="s">
        <v>254</v>
      </c>
      <c r="B131" t="s">
        <v>524</v>
      </c>
      <c r="C131" t="str">
        <f t="shared" si="2"/>
        <v>GST_Intelligent IT Hub Pvt Ltd</v>
      </c>
      <c r="D131" s="5" t="s">
        <v>522</v>
      </c>
      <c r="E131" s="5" t="s">
        <v>522</v>
      </c>
      <c r="F131" t="b">
        <v>1</v>
      </c>
      <c r="G131" s="5" t="s">
        <v>522</v>
      </c>
      <c r="H131" t="s">
        <v>524</v>
      </c>
      <c r="I131" t="b">
        <v>1</v>
      </c>
    </row>
    <row r="132" spans="1:9">
      <c r="A132" s="1" t="s">
        <v>404</v>
      </c>
      <c r="B132" t="s">
        <v>524</v>
      </c>
      <c r="C132" t="str">
        <f t="shared" si="2"/>
        <v>GST_P.R. Patel&amp;Co.</v>
      </c>
      <c r="D132" s="5" t="s">
        <v>522</v>
      </c>
      <c r="E132" s="5" t="s">
        <v>522</v>
      </c>
      <c r="F132" t="b">
        <v>1</v>
      </c>
      <c r="G132" s="5" t="s">
        <v>522</v>
      </c>
      <c r="H132" t="s">
        <v>524</v>
      </c>
      <c r="I132" t="b">
        <v>1</v>
      </c>
    </row>
    <row r="133" spans="1:9">
      <c r="A133" s="1" t="s">
        <v>307</v>
      </c>
      <c r="B133" t="s">
        <v>524</v>
      </c>
      <c r="C133" t="str">
        <f t="shared" si="2"/>
        <v>GST_Pranav Chandresh Patel</v>
      </c>
      <c r="D133" s="5" t="s">
        <v>522</v>
      </c>
      <c r="E133" s="5" t="s">
        <v>522</v>
      </c>
      <c r="F133" t="b">
        <v>1</v>
      </c>
      <c r="G133" s="5" t="s">
        <v>522</v>
      </c>
      <c r="H133" t="s">
        <v>524</v>
      </c>
      <c r="I133" t="b">
        <v>1</v>
      </c>
    </row>
    <row r="134" spans="1:9">
      <c r="A134" s="1" t="s">
        <v>183</v>
      </c>
      <c r="B134" t="s">
        <v>524</v>
      </c>
      <c r="C134" t="str">
        <f t="shared" si="2"/>
        <v>GST_Harsad Babulal Jani</v>
      </c>
      <c r="D134" s="5" t="s">
        <v>522</v>
      </c>
      <c r="E134" s="5" t="s">
        <v>522</v>
      </c>
      <c r="F134" t="b">
        <v>1</v>
      </c>
      <c r="G134" s="5" t="s">
        <v>522</v>
      </c>
      <c r="H134" t="s">
        <v>524</v>
      </c>
      <c r="I134" t="b">
        <v>1</v>
      </c>
    </row>
    <row r="135" spans="1:9">
      <c r="A135" s="1" t="s">
        <v>163</v>
      </c>
      <c r="B135" t="s">
        <v>524</v>
      </c>
      <c r="C135" t="str">
        <f t="shared" si="2"/>
        <v>GST_Gopiben R Patel</v>
      </c>
      <c r="D135" s="5" t="s">
        <v>522</v>
      </c>
      <c r="E135" s="5" t="s">
        <v>522</v>
      </c>
      <c r="F135" t="b">
        <v>1</v>
      </c>
      <c r="G135" s="5" t="s">
        <v>522</v>
      </c>
      <c r="H135" t="s">
        <v>524</v>
      </c>
      <c r="I135" t="b">
        <v>1</v>
      </c>
    </row>
    <row r="136" spans="1:9">
      <c r="A136" s="1" t="s">
        <v>261</v>
      </c>
      <c r="B136" t="s">
        <v>524</v>
      </c>
      <c r="C136" t="str">
        <f t="shared" si="2"/>
        <v>GST_Gaurav Mehta</v>
      </c>
      <c r="D136" s="5" t="s">
        <v>522</v>
      </c>
      <c r="E136" s="5" t="s">
        <v>522</v>
      </c>
      <c r="F136" t="b">
        <v>1</v>
      </c>
      <c r="G136" s="5" t="s">
        <v>522</v>
      </c>
      <c r="H136" t="s">
        <v>524</v>
      </c>
      <c r="I136" t="b">
        <v>1</v>
      </c>
    </row>
    <row r="137" spans="1:9">
      <c r="A137" s="1" t="s">
        <v>287</v>
      </c>
      <c r="B137" t="s">
        <v>524</v>
      </c>
      <c r="C137" t="str">
        <f t="shared" si="2"/>
        <v xml:space="preserve">GST_Nirmalaben B Ajara </v>
      </c>
      <c r="D137" s="5" t="s">
        <v>522</v>
      </c>
      <c r="E137" s="5" t="s">
        <v>522</v>
      </c>
      <c r="F137" t="b">
        <v>1</v>
      </c>
      <c r="G137" s="5" t="s">
        <v>522</v>
      </c>
      <c r="H137" t="s">
        <v>524</v>
      </c>
      <c r="I137" t="b">
        <v>1</v>
      </c>
    </row>
    <row r="138" spans="1:9">
      <c r="A138" s="1" t="s">
        <v>460</v>
      </c>
      <c r="B138" t="s">
        <v>524</v>
      </c>
      <c r="C138" t="str">
        <f t="shared" si="2"/>
        <v>GST_Amit M Panchal</v>
      </c>
      <c r="D138" s="5" t="s">
        <v>522</v>
      </c>
      <c r="E138" s="5" t="s">
        <v>522</v>
      </c>
      <c r="F138" t="b">
        <v>1</v>
      </c>
      <c r="G138" s="5" t="s">
        <v>522</v>
      </c>
      <c r="H138" t="s">
        <v>524</v>
      </c>
      <c r="I138" t="b">
        <v>1</v>
      </c>
    </row>
    <row r="139" spans="1:9">
      <c r="A139" s="1" t="s">
        <v>219</v>
      </c>
      <c r="B139" t="s">
        <v>524</v>
      </c>
      <c r="C139" t="str">
        <f t="shared" si="2"/>
        <v>GST_Vinodbhai Jagdishbhai Patel</v>
      </c>
      <c r="D139" s="5" t="s">
        <v>522</v>
      </c>
      <c r="E139" s="5" t="s">
        <v>522</v>
      </c>
      <c r="F139" t="b">
        <v>1</v>
      </c>
      <c r="G139" s="5" t="s">
        <v>522</v>
      </c>
      <c r="H139" t="s">
        <v>524</v>
      </c>
      <c r="I139" t="b">
        <v>1</v>
      </c>
    </row>
    <row r="140" spans="1:9">
      <c r="A140" s="1" t="s">
        <v>402</v>
      </c>
      <c r="B140" t="s">
        <v>524</v>
      </c>
      <c r="C140" t="str">
        <f t="shared" si="2"/>
        <v>GST_Shushil Shukla</v>
      </c>
      <c r="D140" s="5" t="s">
        <v>522</v>
      </c>
      <c r="E140" s="5" t="s">
        <v>522</v>
      </c>
      <c r="F140" t="b">
        <v>1</v>
      </c>
      <c r="G140" s="5" t="s">
        <v>522</v>
      </c>
      <c r="H140" t="s">
        <v>524</v>
      </c>
      <c r="I140" t="b">
        <v>1</v>
      </c>
    </row>
    <row r="141" spans="1:9">
      <c r="A141" s="1" t="s">
        <v>362</v>
      </c>
      <c r="B141" t="s">
        <v>524</v>
      </c>
      <c r="C141" t="str">
        <f t="shared" si="2"/>
        <v>GST_Sapphire Software Solutions</v>
      </c>
      <c r="D141" s="5" t="s">
        <v>522</v>
      </c>
      <c r="E141" s="5" t="s">
        <v>522</v>
      </c>
      <c r="F141" t="b">
        <v>1</v>
      </c>
      <c r="G141" s="5" t="s">
        <v>522</v>
      </c>
      <c r="H141" t="s">
        <v>524</v>
      </c>
      <c r="I141" t="b">
        <v>1</v>
      </c>
    </row>
    <row r="142" spans="1:9">
      <c r="A142" s="1" t="s">
        <v>301</v>
      </c>
      <c r="B142" t="s">
        <v>524</v>
      </c>
      <c r="C142" t="str">
        <f t="shared" si="2"/>
        <v>GST_Vinodbhai C Patel</v>
      </c>
      <c r="D142" s="5" t="s">
        <v>522</v>
      </c>
      <c r="E142" s="5" t="s">
        <v>522</v>
      </c>
      <c r="F142" t="b">
        <v>1</v>
      </c>
      <c r="G142" s="5" t="s">
        <v>522</v>
      </c>
      <c r="H142" t="s">
        <v>524</v>
      </c>
      <c r="I142" t="b">
        <v>1</v>
      </c>
    </row>
    <row r="143" spans="1:9">
      <c r="A143" s="1" t="s">
        <v>442</v>
      </c>
      <c r="B143" t="s">
        <v>524</v>
      </c>
      <c r="C143" t="str">
        <f t="shared" si="2"/>
        <v xml:space="preserve">GST_Pravinbhai M Patel </v>
      </c>
      <c r="D143" s="5" t="s">
        <v>522</v>
      </c>
      <c r="E143" s="5" t="s">
        <v>522</v>
      </c>
      <c r="F143" t="b">
        <v>1</v>
      </c>
      <c r="G143" s="5" t="s">
        <v>522</v>
      </c>
      <c r="H143" t="s">
        <v>524</v>
      </c>
      <c r="I143" t="b">
        <v>1</v>
      </c>
    </row>
    <row r="144" spans="1:9">
      <c r="A144" s="1" t="s">
        <v>275</v>
      </c>
      <c r="B144" t="s">
        <v>524</v>
      </c>
      <c r="C144" t="str">
        <f t="shared" si="2"/>
        <v>GST_Vijaykumar Girjaprasad Thaker HUF</v>
      </c>
      <c r="D144" s="5" t="s">
        <v>522</v>
      </c>
      <c r="E144" s="5" t="s">
        <v>522</v>
      </c>
      <c r="F144" t="b">
        <v>1</v>
      </c>
      <c r="G144" s="5" t="s">
        <v>522</v>
      </c>
      <c r="H144" t="s">
        <v>524</v>
      </c>
      <c r="I144" t="b">
        <v>1</v>
      </c>
    </row>
    <row r="145" spans="1:9">
      <c r="A145" s="1" t="s">
        <v>179</v>
      </c>
      <c r="B145" t="s">
        <v>524</v>
      </c>
      <c r="C145" t="str">
        <f t="shared" si="2"/>
        <v>GST_M_S. Opulence Business Solutions Pvt Ltd</v>
      </c>
      <c r="D145" s="5" t="s">
        <v>522</v>
      </c>
      <c r="E145" s="5" t="s">
        <v>522</v>
      </c>
      <c r="F145" t="b">
        <v>1</v>
      </c>
      <c r="G145" s="5" t="s">
        <v>522</v>
      </c>
      <c r="H145" t="s">
        <v>524</v>
      </c>
      <c r="I145" t="b">
        <v>1</v>
      </c>
    </row>
    <row r="146" spans="1:9">
      <c r="A146" s="1" t="s">
        <v>169</v>
      </c>
      <c r="B146" t="s">
        <v>524</v>
      </c>
      <c r="C146" t="str">
        <f t="shared" si="2"/>
        <v>GST_Ashaben V Darji</v>
      </c>
      <c r="D146" s="5" t="s">
        <v>522</v>
      </c>
      <c r="E146" s="5" t="s">
        <v>522</v>
      </c>
      <c r="F146" t="b">
        <v>1</v>
      </c>
      <c r="G146" s="5" t="s">
        <v>522</v>
      </c>
      <c r="H146" t="s">
        <v>524</v>
      </c>
      <c r="I146" t="b">
        <v>1</v>
      </c>
    </row>
    <row r="147" spans="1:9">
      <c r="A147" s="1" t="s">
        <v>309</v>
      </c>
      <c r="B147" t="s">
        <v>524</v>
      </c>
      <c r="C147" t="str">
        <f t="shared" si="2"/>
        <v>GST_Hyperlink Info System C_o Harni</v>
      </c>
      <c r="D147" s="5" t="s">
        <v>522</v>
      </c>
      <c r="E147" s="5" t="s">
        <v>522</v>
      </c>
      <c r="F147" t="b">
        <v>1</v>
      </c>
      <c r="G147" s="5" t="s">
        <v>522</v>
      </c>
      <c r="H147" t="s">
        <v>524</v>
      </c>
      <c r="I147" t="b">
        <v>1</v>
      </c>
    </row>
    <row r="148" spans="1:9">
      <c r="A148" s="1" t="s">
        <v>432</v>
      </c>
      <c r="B148" t="s">
        <v>524</v>
      </c>
      <c r="C148" t="str">
        <f t="shared" si="2"/>
        <v xml:space="preserve">GST_Maulik Dipakkumar Shah </v>
      </c>
      <c r="D148" s="5" t="s">
        <v>522</v>
      </c>
      <c r="E148" s="5" t="s">
        <v>522</v>
      </c>
      <c r="F148" t="b">
        <v>1</v>
      </c>
      <c r="G148" s="5" t="s">
        <v>522</v>
      </c>
      <c r="H148" t="s">
        <v>524</v>
      </c>
      <c r="I148" t="b">
        <v>1</v>
      </c>
    </row>
    <row r="149" spans="1:9">
      <c r="A149" s="1" t="s">
        <v>195</v>
      </c>
      <c r="B149" t="s">
        <v>524</v>
      </c>
      <c r="C149" t="str">
        <f t="shared" si="2"/>
        <v>GST_Dev Chemicals</v>
      </c>
      <c r="D149" s="5" t="s">
        <v>522</v>
      </c>
      <c r="E149" s="5" t="s">
        <v>522</v>
      </c>
      <c r="F149" t="b">
        <v>1</v>
      </c>
      <c r="G149" s="5" t="s">
        <v>522</v>
      </c>
      <c r="H149" t="s">
        <v>524</v>
      </c>
      <c r="I149" t="b">
        <v>1</v>
      </c>
    </row>
    <row r="150" spans="1:9">
      <c r="A150" s="1" t="s">
        <v>227</v>
      </c>
      <c r="B150" t="s">
        <v>524</v>
      </c>
      <c r="C150" t="str">
        <f t="shared" si="2"/>
        <v>GST_Mit Rajendra Shah</v>
      </c>
      <c r="D150" s="5" t="s">
        <v>522</v>
      </c>
      <c r="E150" s="5" t="s">
        <v>522</v>
      </c>
      <c r="F150" t="b">
        <v>1</v>
      </c>
      <c r="G150" s="5" t="s">
        <v>522</v>
      </c>
      <c r="H150" t="s">
        <v>524</v>
      </c>
      <c r="I150" t="b">
        <v>1</v>
      </c>
    </row>
    <row r="151" spans="1:9">
      <c r="A151" s="1" t="s">
        <v>252</v>
      </c>
      <c r="B151" t="s">
        <v>524</v>
      </c>
      <c r="C151" t="str">
        <f t="shared" si="2"/>
        <v xml:space="preserve">GST_Nilesh D Patel </v>
      </c>
      <c r="D151" s="5" t="s">
        <v>522</v>
      </c>
      <c r="E151" s="5" t="s">
        <v>522</v>
      </c>
      <c r="F151" t="b">
        <v>1</v>
      </c>
      <c r="G151" s="5" t="s">
        <v>522</v>
      </c>
      <c r="H151" t="s">
        <v>524</v>
      </c>
      <c r="I151" t="b">
        <v>1</v>
      </c>
    </row>
    <row r="152" spans="1:9">
      <c r="A152" s="1" t="s">
        <v>311</v>
      </c>
      <c r="B152" t="s">
        <v>524</v>
      </c>
      <c r="C152" t="str">
        <f t="shared" si="2"/>
        <v>GST_H.V. Infotech</v>
      </c>
      <c r="D152" s="5" t="s">
        <v>522</v>
      </c>
      <c r="E152" s="5" t="s">
        <v>522</v>
      </c>
      <c r="F152" t="b">
        <v>1</v>
      </c>
      <c r="G152" s="5" t="s">
        <v>522</v>
      </c>
      <c r="H152" t="s">
        <v>524</v>
      </c>
      <c r="I152" t="b">
        <v>1</v>
      </c>
    </row>
    <row r="153" spans="1:9">
      <c r="A153" s="1" t="s">
        <v>295</v>
      </c>
      <c r="B153" t="s">
        <v>524</v>
      </c>
      <c r="C153" t="str">
        <f t="shared" si="2"/>
        <v>GST_Anshu Asthana</v>
      </c>
      <c r="D153" s="5" t="s">
        <v>522</v>
      </c>
      <c r="E153" s="5" t="s">
        <v>522</v>
      </c>
      <c r="F153" t="b">
        <v>1</v>
      </c>
      <c r="G153" s="5" t="s">
        <v>522</v>
      </c>
      <c r="H153" t="s">
        <v>524</v>
      </c>
      <c r="I153" t="b">
        <v>1</v>
      </c>
    </row>
    <row r="154" spans="1:9">
      <c r="A154" s="1" t="s">
        <v>455</v>
      </c>
      <c r="B154" t="s">
        <v>524</v>
      </c>
      <c r="C154" t="str">
        <f t="shared" si="2"/>
        <v>GST_Dashrathbhai S Patel</v>
      </c>
      <c r="D154" s="5" t="s">
        <v>522</v>
      </c>
      <c r="E154" s="5" t="s">
        <v>522</v>
      </c>
      <c r="F154" t="b">
        <v>1</v>
      </c>
      <c r="G154" s="5" t="s">
        <v>522</v>
      </c>
      <c r="H154" t="s">
        <v>524</v>
      </c>
      <c r="I154" t="b">
        <v>1</v>
      </c>
    </row>
    <row r="155" spans="1:9">
      <c r="A155" s="1" t="s">
        <v>418</v>
      </c>
      <c r="B155" t="s">
        <v>524</v>
      </c>
      <c r="C155" t="str">
        <f t="shared" si="2"/>
        <v>GST_Sonalika Tractor</v>
      </c>
      <c r="D155" s="5" t="s">
        <v>522</v>
      </c>
      <c r="E155" s="5" t="s">
        <v>522</v>
      </c>
      <c r="F155" t="b">
        <v>1</v>
      </c>
      <c r="G155" s="5" t="s">
        <v>522</v>
      </c>
      <c r="H155" t="s">
        <v>524</v>
      </c>
      <c r="I155" t="b">
        <v>1</v>
      </c>
    </row>
    <row r="156" spans="1:9">
      <c r="A156" s="1" t="s">
        <v>342</v>
      </c>
      <c r="B156" t="s">
        <v>524</v>
      </c>
      <c r="C156" t="str">
        <f t="shared" si="2"/>
        <v>GST_Rathin Prakashbhai Raval</v>
      </c>
      <c r="D156" s="5" t="s">
        <v>522</v>
      </c>
      <c r="E156" s="5" t="s">
        <v>522</v>
      </c>
      <c r="F156" t="b">
        <v>1</v>
      </c>
      <c r="G156" s="5" t="s">
        <v>522</v>
      </c>
      <c r="H156" t="s">
        <v>524</v>
      </c>
      <c r="I156" t="b">
        <v>1</v>
      </c>
    </row>
    <row r="157" spans="1:9">
      <c r="A157" s="1" t="s">
        <v>422</v>
      </c>
      <c r="B157" t="s">
        <v>524</v>
      </c>
      <c r="C157" t="str">
        <f t="shared" si="2"/>
        <v>GST_Apurva Rasikbhai Kapadia</v>
      </c>
      <c r="D157" s="5" t="s">
        <v>522</v>
      </c>
      <c r="E157" s="5" t="s">
        <v>522</v>
      </c>
      <c r="F157" t="b">
        <v>1</v>
      </c>
      <c r="G157" s="5" t="s">
        <v>522</v>
      </c>
      <c r="H157" t="s">
        <v>524</v>
      </c>
      <c r="I157" t="b">
        <v>1</v>
      </c>
    </row>
    <row r="158" spans="1:9">
      <c r="A158" s="1" t="s">
        <v>207</v>
      </c>
      <c r="B158" t="s">
        <v>524</v>
      </c>
      <c r="C158" t="str">
        <f t="shared" si="2"/>
        <v>GST_Ronak Manubhai Patel</v>
      </c>
      <c r="D158" s="5" t="s">
        <v>522</v>
      </c>
      <c r="E158" s="5" t="s">
        <v>522</v>
      </c>
      <c r="F158" t="b">
        <v>1</v>
      </c>
      <c r="G158" s="5" t="s">
        <v>522</v>
      </c>
      <c r="H158" t="s">
        <v>524</v>
      </c>
      <c r="I158" t="b">
        <v>1</v>
      </c>
    </row>
    <row r="159" spans="1:9">
      <c r="A159" s="1" t="s">
        <v>231</v>
      </c>
      <c r="B159" t="s">
        <v>524</v>
      </c>
      <c r="C159" t="str">
        <f t="shared" si="2"/>
        <v>GST_Nitinbhai V Patel</v>
      </c>
      <c r="D159" s="5" t="s">
        <v>522</v>
      </c>
      <c r="E159" s="5" t="s">
        <v>522</v>
      </c>
      <c r="F159" t="b">
        <v>1</v>
      </c>
      <c r="G159" s="5" t="s">
        <v>522</v>
      </c>
      <c r="H159" t="s">
        <v>524</v>
      </c>
      <c r="I159" t="b">
        <v>1</v>
      </c>
    </row>
    <row r="160" spans="1:9">
      <c r="A160" s="1" t="s">
        <v>244</v>
      </c>
      <c r="B160" t="s">
        <v>524</v>
      </c>
      <c r="C160" t="str">
        <f t="shared" si="2"/>
        <v>GST_Poulami Pramod Patel</v>
      </c>
      <c r="D160" s="5" t="s">
        <v>522</v>
      </c>
      <c r="E160" s="5" t="s">
        <v>522</v>
      </c>
      <c r="F160" t="b">
        <v>1</v>
      </c>
      <c r="G160" s="5" t="s">
        <v>522</v>
      </c>
      <c r="H160" t="s">
        <v>524</v>
      </c>
      <c r="I160" t="b">
        <v>1</v>
      </c>
    </row>
    <row r="161" spans="1:9">
      <c r="A161" s="1" t="s">
        <v>344</v>
      </c>
      <c r="B161" t="s">
        <v>524</v>
      </c>
      <c r="C161" t="str">
        <f t="shared" si="2"/>
        <v>GST_Prafulla H Gehlot</v>
      </c>
      <c r="D161" s="5" t="s">
        <v>522</v>
      </c>
      <c r="E161" s="5" t="s">
        <v>522</v>
      </c>
      <c r="F161" t="b">
        <v>1</v>
      </c>
      <c r="G161" s="5" t="s">
        <v>522</v>
      </c>
      <c r="H161" t="s">
        <v>524</v>
      </c>
      <c r="I161" t="b">
        <v>1</v>
      </c>
    </row>
    <row r="162" spans="1:9">
      <c r="A162" s="1" t="s">
        <v>187</v>
      </c>
      <c r="B162" t="s">
        <v>524</v>
      </c>
      <c r="C162" t="str">
        <f t="shared" si="2"/>
        <v xml:space="preserve">GST_Sanjay Revaram Trivedi </v>
      </c>
      <c r="D162" s="5" t="s">
        <v>522</v>
      </c>
      <c r="E162" s="5" t="s">
        <v>522</v>
      </c>
      <c r="F162" t="b">
        <v>1</v>
      </c>
      <c r="G162" s="5" t="s">
        <v>522</v>
      </c>
      <c r="H162" t="s">
        <v>524</v>
      </c>
      <c r="I162" t="b">
        <v>1</v>
      </c>
    </row>
    <row r="163" spans="1:9">
      <c r="A163" s="1" t="s">
        <v>125</v>
      </c>
      <c r="B163" t="s">
        <v>524</v>
      </c>
      <c r="C163" t="str">
        <f t="shared" si="2"/>
        <v xml:space="preserve">GST_Hasmukhlal K Thakkar </v>
      </c>
      <c r="D163" s="5" t="s">
        <v>522</v>
      </c>
      <c r="E163" s="5" t="s">
        <v>522</v>
      </c>
      <c r="F163" t="b">
        <v>1</v>
      </c>
      <c r="G163" s="5" t="s">
        <v>522</v>
      </c>
      <c r="H163" t="s">
        <v>524</v>
      </c>
      <c r="I163" t="b">
        <v>1</v>
      </c>
    </row>
    <row r="164" spans="1:9">
      <c r="A164" s="1" t="s">
        <v>450</v>
      </c>
      <c r="B164" t="s">
        <v>524</v>
      </c>
      <c r="C164" t="str">
        <f t="shared" si="2"/>
        <v>GST_Devang Vyas</v>
      </c>
      <c r="D164" s="5" t="s">
        <v>522</v>
      </c>
      <c r="E164" s="5" t="s">
        <v>522</v>
      </c>
      <c r="F164" t="b">
        <v>1</v>
      </c>
      <c r="G164" s="5" t="s">
        <v>522</v>
      </c>
      <c r="H164" t="s">
        <v>524</v>
      </c>
      <c r="I164" t="b">
        <v>1</v>
      </c>
    </row>
    <row r="165" spans="1:9">
      <c r="A165" s="1" t="s">
        <v>269</v>
      </c>
      <c r="B165" t="s">
        <v>524</v>
      </c>
      <c r="C165" t="str">
        <f t="shared" si="2"/>
        <v>GST_Parasben J Rao</v>
      </c>
      <c r="D165" s="5" t="s">
        <v>522</v>
      </c>
      <c r="E165" s="5" t="s">
        <v>522</v>
      </c>
      <c r="F165" t="b">
        <v>1</v>
      </c>
      <c r="G165" s="5" t="s">
        <v>522</v>
      </c>
      <c r="H165" t="s">
        <v>524</v>
      </c>
      <c r="I165" t="b">
        <v>1</v>
      </c>
    </row>
    <row r="166" spans="1:9">
      <c r="A166" s="1" t="s">
        <v>315</v>
      </c>
      <c r="B166" t="s">
        <v>524</v>
      </c>
      <c r="C166" t="str">
        <f t="shared" si="2"/>
        <v xml:space="preserve">GST_Ashishkumar B Patel </v>
      </c>
      <c r="D166" s="5" t="s">
        <v>522</v>
      </c>
      <c r="E166" s="5" t="s">
        <v>522</v>
      </c>
      <c r="F166" t="b">
        <v>1</v>
      </c>
      <c r="G166" s="5" t="s">
        <v>522</v>
      </c>
      <c r="H166" t="s">
        <v>524</v>
      </c>
      <c r="I166" t="b">
        <v>1</v>
      </c>
    </row>
    <row r="167" spans="1:9">
      <c r="A167" s="1" t="s">
        <v>271</v>
      </c>
      <c r="B167" t="s">
        <v>524</v>
      </c>
      <c r="C167" t="str">
        <f t="shared" si="2"/>
        <v>GST_Jigneshbhai I Barot</v>
      </c>
      <c r="D167" s="5" t="s">
        <v>522</v>
      </c>
      <c r="E167" s="5" t="s">
        <v>522</v>
      </c>
      <c r="F167" t="b">
        <v>1</v>
      </c>
      <c r="G167" s="5" t="s">
        <v>522</v>
      </c>
      <c r="H167" t="s">
        <v>524</v>
      </c>
      <c r="I167" t="b">
        <v>1</v>
      </c>
    </row>
    <row r="168" spans="1:9">
      <c r="A168" s="1" t="s">
        <v>189</v>
      </c>
      <c r="B168" t="s">
        <v>524</v>
      </c>
      <c r="C168" t="str">
        <f t="shared" si="2"/>
        <v>GST_Macgray Solutions Pvt Ltd</v>
      </c>
      <c r="D168" s="5" t="s">
        <v>522</v>
      </c>
      <c r="E168" s="5" t="s">
        <v>522</v>
      </c>
      <c r="F168" t="b">
        <v>1</v>
      </c>
      <c r="G168" s="5" t="s">
        <v>522</v>
      </c>
      <c r="H168" t="s">
        <v>524</v>
      </c>
      <c r="I168" t="b">
        <v>1</v>
      </c>
    </row>
    <row r="169" spans="1:9">
      <c r="A169" s="1" t="s">
        <v>173</v>
      </c>
      <c r="B169" t="s">
        <v>524</v>
      </c>
      <c r="C169" t="str">
        <f t="shared" si="2"/>
        <v>GST_Vardayni Organics</v>
      </c>
      <c r="D169" s="5" t="s">
        <v>522</v>
      </c>
      <c r="E169" s="5" t="s">
        <v>522</v>
      </c>
      <c r="F169" t="b">
        <v>1</v>
      </c>
      <c r="G169" s="5" t="s">
        <v>522</v>
      </c>
      <c r="H169" t="s">
        <v>524</v>
      </c>
      <c r="I169" t="b">
        <v>1</v>
      </c>
    </row>
    <row r="170" spans="1:9">
      <c r="A170" s="1" t="s">
        <v>414</v>
      </c>
      <c r="B170" t="s">
        <v>524</v>
      </c>
      <c r="C170" t="str">
        <f t="shared" si="2"/>
        <v>GST_Dashrathbhai K Patel</v>
      </c>
      <c r="D170" s="5" t="s">
        <v>522</v>
      </c>
      <c r="E170" s="5" t="s">
        <v>522</v>
      </c>
      <c r="F170" t="b">
        <v>1</v>
      </c>
      <c r="G170" s="5" t="s">
        <v>522</v>
      </c>
      <c r="H170" t="s">
        <v>524</v>
      </c>
      <c r="I170" t="b">
        <v>1</v>
      </c>
    </row>
    <row r="171" spans="1:9">
      <c r="A171" s="1" t="s">
        <v>259</v>
      </c>
      <c r="B171" t="s">
        <v>524</v>
      </c>
      <c r="C171" t="str">
        <f t="shared" si="2"/>
        <v>GST_Priyank N Gandhi</v>
      </c>
      <c r="D171" s="5" t="s">
        <v>522</v>
      </c>
      <c r="E171" s="5" t="s">
        <v>522</v>
      </c>
      <c r="F171" t="b">
        <v>1</v>
      </c>
      <c r="G171" s="5" t="s">
        <v>522</v>
      </c>
      <c r="H171" t="s">
        <v>524</v>
      </c>
      <c r="I171" t="b">
        <v>1</v>
      </c>
    </row>
    <row r="172" spans="1:9">
      <c r="A172" s="1" t="s">
        <v>293</v>
      </c>
      <c r="B172" t="s">
        <v>524</v>
      </c>
      <c r="C172" t="str">
        <f t="shared" si="2"/>
        <v>GST_SOAR Technologies</v>
      </c>
      <c r="D172" s="5" t="s">
        <v>522</v>
      </c>
      <c r="E172" s="5" t="s">
        <v>522</v>
      </c>
      <c r="F172" t="b">
        <v>1</v>
      </c>
      <c r="G172" s="5" t="s">
        <v>522</v>
      </c>
      <c r="H172" t="s">
        <v>524</v>
      </c>
      <c r="I172" t="b">
        <v>1</v>
      </c>
    </row>
    <row r="173" spans="1:9">
      <c r="A173" s="1" t="s">
        <v>246</v>
      </c>
      <c r="B173" t="s">
        <v>524</v>
      </c>
      <c r="C173" t="str">
        <f t="shared" si="2"/>
        <v xml:space="preserve">GST_Dipalbhai G Nakrani </v>
      </c>
      <c r="D173" s="5" t="s">
        <v>522</v>
      </c>
      <c r="E173" s="5" t="s">
        <v>522</v>
      </c>
      <c r="F173" t="b">
        <v>1</v>
      </c>
      <c r="G173" s="5" t="s">
        <v>522</v>
      </c>
      <c r="H173" t="s">
        <v>524</v>
      </c>
      <c r="I173" t="b">
        <v>1</v>
      </c>
    </row>
    <row r="174" spans="1:9">
      <c r="A174" s="1" t="s">
        <v>406</v>
      </c>
      <c r="B174" t="s">
        <v>524</v>
      </c>
      <c r="C174" t="str">
        <f t="shared" si="2"/>
        <v>GST_Vipul Mahendrabhai Patel - HUF</v>
      </c>
      <c r="D174" s="5" t="s">
        <v>522</v>
      </c>
      <c r="E174" s="5" t="s">
        <v>522</v>
      </c>
      <c r="F174" t="b">
        <v>1</v>
      </c>
      <c r="G174" s="5" t="s">
        <v>522</v>
      </c>
      <c r="H174" t="s">
        <v>524</v>
      </c>
      <c r="I174" t="b">
        <v>1</v>
      </c>
    </row>
    <row r="175" spans="1:9">
      <c r="A175" s="1" t="s">
        <v>283</v>
      </c>
      <c r="B175" t="s">
        <v>524</v>
      </c>
      <c r="C175" t="str">
        <f t="shared" si="2"/>
        <v>GST_Devanshi Chirag Patel</v>
      </c>
      <c r="D175" s="5" t="s">
        <v>522</v>
      </c>
      <c r="E175" s="5" t="s">
        <v>522</v>
      </c>
      <c r="F175" t="b">
        <v>1</v>
      </c>
      <c r="G175" s="5" t="s">
        <v>522</v>
      </c>
      <c r="H175" t="s">
        <v>524</v>
      </c>
      <c r="I175" t="b">
        <v>1</v>
      </c>
    </row>
    <row r="176" spans="1:9">
      <c r="A176" s="1" t="s">
        <v>165</v>
      </c>
      <c r="B176" t="s">
        <v>524</v>
      </c>
      <c r="C176" t="str">
        <f t="shared" si="2"/>
        <v>GST_M_S.Bonita Farmaceuticals Pvt Ltd</v>
      </c>
      <c r="D176" s="5" t="s">
        <v>522</v>
      </c>
      <c r="E176" s="5" t="s">
        <v>522</v>
      </c>
      <c r="F176" t="b">
        <v>1</v>
      </c>
      <c r="G176" s="5" t="s">
        <v>522</v>
      </c>
      <c r="H176" t="s">
        <v>524</v>
      </c>
      <c r="I176" t="b">
        <v>1</v>
      </c>
    </row>
    <row r="177" spans="1:9">
      <c r="A177" s="1" t="s">
        <v>277</v>
      </c>
      <c r="B177" t="s">
        <v>524</v>
      </c>
      <c r="C177" t="str">
        <f t="shared" si="2"/>
        <v>GST_Pcot Export</v>
      </c>
      <c r="D177" s="5" t="s">
        <v>522</v>
      </c>
      <c r="E177" s="5" t="s">
        <v>522</v>
      </c>
      <c r="F177" t="b">
        <v>1</v>
      </c>
      <c r="G177" s="5" t="s">
        <v>522</v>
      </c>
      <c r="H177" t="s">
        <v>524</v>
      </c>
      <c r="I177" t="b">
        <v>1</v>
      </c>
    </row>
    <row r="178" spans="1:9">
      <c r="A178" s="1" t="s">
        <v>385</v>
      </c>
      <c r="B178" t="s">
        <v>524</v>
      </c>
      <c r="C178" t="str">
        <f t="shared" si="2"/>
        <v>GST_Vinod Jivrajbhai Chotaliya</v>
      </c>
      <c r="D178" s="5" t="s">
        <v>522</v>
      </c>
      <c r="E178" s="5" t="s">
        <v>522</v>
      </c>
      <c r="F178" t="b">
        <v>1</v>
      </c>
      <c r="G178" s="5" t="s">
        <v>522</v>
      </c>
      <c r="H178" t="s">
        <v>524</v>
      </c>
      <c r="I178" t="b">
        <v>1</v>
      </c>
    </row>
    <row r="179" spans="1:9">
      <c r="A179" s="1" t="s">
        <v>113</v>
      </c>
      <c r="B179" t="s">
        <v>524</v>
      </c>
      <c r="C179" t="str">
        <f t="shared" si="2"/>
        <v>GST_Gabon Seramik Pvt Ltd</v>
      </c>
      <c r="D179" s="5" t="s">
        <v>522</v>
      </c>
      <c r="E179" s="5" t="s">
        <v>522</v>
      </c>
      <c r="F179" t="b">
        <v>1</v>
      </c>
      <c r="G179" s="5" t="s">
        <v>522</v>
      </c>
      <c r="H179" t="s">
        <v>524</v>
      </c>
      <c r="I179" t="b">
        <v>1</v>
      </c>
    </row>
    <row r="180" spans="1:9">
      <c r="A180" s="1" t="s">
        <v>323</v>
      </c>
      <c r="B180" t="s">
        <v>524</v>
      </c>
      <c r="C180" t="str">
        <f t="shared" si="2"/>
        <v>GST_M_S.Alpesh Infrastructure Pvt Ltd</v>
      </c>
      <c r="D180" s="5" t="s">
        <v>522</v>
      </c>
      <c r="E180" s="5" t="s">
        <v>522</v>
      </c>
      <c r="F180" t="b">
        <v>1</v>
      </c>
      <c r="G180" s="5" t="s">
        <v>522</v>
      </c>
      <c r="H180" t="s">
        <v>524</v>
      </c>
      <c r="I180" t="b">
        <v>1</v>
      </c>
    </row>
    <row r="181" spans="1:9">
      <c r="A181" s="1" t="s">
        <v>426</v>
      </c>
      <c r="B181" t="s">
        <v>524</v>
      </c>
      <c r="C181" t="str">
        <f t="shared" si="2"/>
        <v>GST_Jayeshkumar Rambhai Patel</v>
      </c>
      <c r="D181" s="5" t="s">
        <v>522</v>
      </c>
      <c r="E181" s="5" t="s">
        <v>522</v>
      </c>
      <c r="F181" t="b">
        <v>1</v>
      </c>
      <c r="G181" s="5" t="s">
        <v>522</v>
      </c>
      <c r="H181" t="s">
        <v>524</v>
      </c>
      <c r="I181" t="b">
        <v>1</v>
      </c>
    </row>
    <row r="182" spans="1:9">
      <c r="A182" s="1" t="s">
        <v>400</v>
      </c>
      <c r="B182" t="s">
        <v>524</v>
      </c>
      <c r="C182" t="str">
        <f t="shared" si="2"/>
        <v>GST_Shantibhai Prabhubhai Patel</v>
      </c>
      <c r="D182" s="5" t="s">
        <v>522</v>
      </c>
      <c r="E182" s="5" t="s">
        <v>522</v>
      </c>
      <c r="F182" t="b">
        <v>1</v>
      </c>
      <c r="G182" s="5" t="s">
        <v>522</v>
      </c>
      <c r="H182" t="s">
        <v>524</v>
      </c>
      <c r="I182" t="b">
        <v>1</v>
      </c>
    </row>
    <row r="183" spans="1:9">
      <c r="A183" s="1" t="s">
        <v>446</v>
      </c>
      <c r="B183" t="s">
        <v>524</v>
      </c>
      <c r="C183" t="str">
        <f t="shared" si="2"/>
        <v>GST_Jayeshbhai A Patel</v>
      </c>
      <c r="D183" s="5" t="s">
        <v>522</v>
      </c>
      <c r="E183" s="5" t="s">
        <v>522</v>
      </c>
      <c r="F183" t="b">
        <v>1</v>
      </c>
      <c r="G183" s="5" t="s">
        <v>522</v>
      </c>
      <c r="H183" t="s">
        <v>524</v>
      </c>
      <c r="I183" t="b">
        <v>1</v>
      </c>
    </row>
    <row r="184" spans="1:9">
      <c r="A184" s="1" t="s">
        <v>434</v>
      </c>
      <c r="B184" t="s">
        <v>524</v>
      </c>
      <c r="C184" t="str">
        <f t="shared" si="2"/>
        <v>GST_Mitesh Bhammar</v>
      </c>
      <c r="D184" s="5" t="s">
        <v>522</v>
      </c>
      <c r="E184" s="5" t="s">
        <v>522</v>
      </c>
      <c r="F184" t="b">
        <v>1</v>
      </c>
      <c r="G184" s="5" t="s">
        <v>522</v>
      </c>
      <c r="H184" t="s">
        <v>524</v>
      </c>
      <c r="I184" t="b">
        <v>1</v>
      </c>
    </row>
    <row r="185" spans="1:9">
      <c r="A185" s="1" t="s">
        <v>364</v>
      </c>
      <c r="B185" t="s">
        <v>524</v>
      </c>
      <c r="C185" t="str">
        <f t="shared" si="2"/>
        <v>GST_Sapphire Software Solution</v>
      </c>
      <c r="D185" s="5" t="s">
        <v>522</v>
      </c>
      <c r="E185" s="5" t="s">
        <v>522</v>
      </c>
      <c r="F185" t="b">
        <v>1</v>
      </c>
      <c r="G185" s="5" t="s">
        <v>522</v>
      </c>
      <c r="H185" t="s">
        <v>524</v>
      </c>
      <c r="I185" t="b">
        <v>1</v>
      </c>
    </row>
    <row r="186" spans="1:9">
      <c r="A186" s="1" t="s">
        <v>167</v>
      </c>
      <c r="B186" t="s">
        <v>524</v>
      </c>
      <c r="C186" t="str">
        <f t="shared" si="2"/>
        <v>GST_Uday Amin</v>
      </c>
      <c r="D186" s="5" t="s">
        <v>522</v>
      </c>
      <c r="E186" s="5" t="s">
        <v>522</v>
      </c>
      <c r="F186" t="b">
        <v>1</v>
      </c>
      <c r="G186" s="5" t="s">
        <v>522</v>
      </c>
      <c r="H186" t="s">
        <v>524</v>
      </c>
      <c r="I186" t="b">
        <v>1</v>
      </c>
    </row>
    <row r="187" spans="1:9">
      <c r="A187" s="1" t="s">
        <v>223</v>
      </c>
      <c r="B187" t="s">
        <v>524</v>
      </c>
      <c r="C187" t="str">
        <f t="shared" si="2"/>
        <v>GST_Nimit Shukla</v>
      </c>
      <c r="D187" s="5" t="s">
        <v>522</v>
      </c>
      <c r="E187" s="5" t="s">
        <v>522</v>
      </c>
      <c r="F187" t="b">
        <v>1</v>
      </c>
      <c r="G187" s="5" t="s">
        <v>522</v>
      </c>
      <c r="H187" t="s">
        <v>524</v>
      </c>
      <c r="I187" t="b">
        <v>1</v>
      </c>
    </row>
    <row r="188" spans="1:9">
      <c r="A188" s="1" t="s">
        <v>127</v>
      </c>
      <c r="B188" t="s">
        <v>523</v>
      </c>
      <c r="C188" t="str">
        <f t="shared" si="2"/>
        <v>PAN_M_S.Desai &amp; Co. Proprietor Desai Nimbeshwar Gudadram</v>
      </c>
      <c r="D188" s="5" t="s">
        <v>522</v>
      </c>
      <c r="E188" s="5" t="s">
        <v>522</v>
      </c>
      <c r="F188" t="b">
        <v>1</v>
      </c>
      <c r="G188" s="5" t="s">
        <v>522</v>
      </c>
      <c r="H188" t="s">
        <v>523</v>
      </c>
      <c r="I188" t="b">
        <v>1</v>
      </c>
    </row>
    <row r="189" spans="1:9">
      <c r="A189" s="1" t="s">
        <v>279</v>
      </c>
      <c r="B189" t="s">
        <v>523</v>
      </c>
      <c r="C189" t="str">
        <f t="shared" si="2"/>
        <v>PAN_Somabhai Kuberbhai Prajapati</v>
      </c>
      <c r="D189" s="5" t="s">
        <v>522</v>
      </c>
      <c r="E189" s="5" t="s">
        <v>522</v>
      </c>
      <c r="F189" t="b">
        <v>1</v>
      </c>
      <c r="G189" s="5" t="s">
        <v>522</v>
      </c>
      <c r="H189" t="s">
        <v>523</v>
      </c>
      <c r="I189" t="b">
        <v>1</v>
      </c>
    </row>
    <row r="190" spans="1:9">
      <c r="A190" s="1" t="s">
        <v>378</v>
      </c>
      <c r="B190" t="s">
        <v>523</v>
      </c>
      <c r="C190" t="str">
        <f t="shared" si="2"/>
        <v>PAN_A. D. Patel</v>
      </c>
      <c r="D190" s="5" t="s">
        <v>522</v>
      </c>
      <c r="E190" s="5" t="s">
        <v>522</v>
      </c>
      <c r="F190" t="b">
        <v>1</v>
      </c>
      <c r="G190" s="5" t="s">
        <v>522</v>
      </c>
      <c r="H190" t="s">
        <v>523</v>
      </c>
      <c r="I190" t="b">
        <v>1</v>
      </c>
    </row>
    <row r="191" spans="1:9">
      <c r="A191" s="2" t="s">
        <v>440</v>
      </c>
      <c r="B191" t="s">
        <v>523</v>
      </c>
      <c r="C191" t="str">
        <f t="shared" si="2"/>
        <v>PAN_Viaan Solutions LLP</v>
      </c>
      <c r="D191" s="5" t="s">
        <v>522</v>
      </c>
      <c r="E191" s="5" t="s">
        <v>522</v>
      </c>
      <c r="F191" t="b">
        <v>1</v>
      </c>
      <c r="G191" s="5" t="s">
        <v>522</v>
      </c>
      <c r="H191" t="s">
        <v>523</v>
      </c>
      <c r="I191" t="b">
        <v>1</v>
      </c>
    </row>
    <row r="192" spans="1:9">
      <c r="A192" s="2" t="s">
        <v>24</v>
      </c>
      <c r="B192" t="s">
        <v>523</v>
      </c>
      <c r="C192" t="str">
        <f t="shared" si="2"/>
        <v xml:space="preserve">PAN_Tejas Manilal Patel </v>
      </c>
      <c r="D192" s="5" t="s">
        <v>522</v>
      </c>
      <c r="E192" s="5" t="s">
        <v>522</v>
      </c>
      <c r="F192" t="b">
        <v>1</v>
      </c>
      <c r="G192" s="5" t="s">
        <v>522</v>
      </c>
      <c r="H192" t="s">
        <v>523</v>
      </c>
      <c r="I192" t="b">
        <v>1</v>
      </c>
    </row>
    <row r="193" spans="1:9">
      <c r="A193" s="1" t="s">
        <v>305</v>
      </c>
      <c r="B193" t="s">
        <v>523</v>
      </c>
      <c r="C193" t="str">
        <f t="shared" si="2"/>
        <v>PAN_Uniza Healthcare LLP</v>
      </c>
      <c r="D193" s="5" t="s">
        <v>522</v>
      </c>
      <c r="E193" s="5" t="s">
        <v>522</v>
      </c>
      <c r="F193" t="b">
        <v>1</v>
      </c>
      <c r="G193" s="5" t="s">
        <v>522</v>
      </c>
      <c r="H193" t="s">
        <v>523</v>
      </c>
      <c r="I193" t="b">
        <v>1</v>
      </c>
    </row>
    <row r="194" spans="1:9">
      <c r="A194" s="1" t="s">
        <v>267</v>
      </c>
      <c r="B194" t="s">
        <v>523</v>
      </c>
      <c r="C194" t="str">
        <f t="shared" ref="C194:C257" si="3">B194&amp;"_"&amp;A194</f>
        <v>PAN_Jagdishsinh Mansinh Rao</v>
      </c>
      <c r="D194" s="5" t="s">
        <v>522</v>
      </c>
      <c r="E194" s="5" t="s">
        <v>522</v>
      </c>
      <c r="F194" t="b">
        <v>1</v>
      </c>
      <c r="G194" s="5" t="s">
        <v>522</v>
      </c>
      <c r="H194" t="s">
        <v>523</v>
      </c>
      <c r="I194" t="b">
        <v>1</v>
      </c>
    </row>
    <row r="195" spans="1:9">
      <c r="A195" s="1" t="s">
        <v>356</v>
      </c>
      <c r="B195" t="s">
        <v>523</v>
      </c>
      <c r="C195" t="str">
        <f t="shared" si="3"/>
        <v>PAN_Arjun Sheth&amp;Associate</v>
      </c>
      <c r="D195" s="5" t="s">
        <v>522</v>
      </c>
      <c r="E195" s="5" t="s">
        <v>522</v>
      </c>
      <c r="F195" t="b">
        <v>1</v>
      </c>
      <c r="G195" s="5" t="s">
        <v>522</v>
      </c>
      <c r="H195" t="s">
        <v>523</v>
      </c>
      <c r="I195" t="b">
        <v>1</v>
      </c>
    </row>
    <row r="196" spans="1:9">
      <c r="A196" s="1" t="s">
        <v>197</v>
      </c>
      <c r="B196" t="s">
        <v>523</v>
      </c>
      <c r="C196" t="str">
        <f t="shared" si="3"/>
        <v>PAN_Ashlesha Mansukhbhai Patel</v>
      </c>
      <c r="D196" s="5" t="s">
        <v>522</v>
      </c>
      <c r="E196" s="5" t="s">
        <v>522</v>
      </c>
      <c r="F196" t="b">
        <v>1</v>
      </c>
      <c r="G196" s="5" t="s">
        <v>522</v>
      </c>
      <c r="H196" t="s">
        <v>523</v>
      </c>
      <c r="I196" t="b">
        <v>1</v>
      </c>
    </row>
    <row r="197" spans="1:9">
      <c r="A197" s="1" t="s">
        <v>209</v>
      </c>
      <c r="B197" t="s">
        <v>523</v>
      </c>
      <c r="C197" t="str">
        <f t="shared" si="3"/>
        <v>PAN_Sagarbhai R Desai</v>
      </c>
      <c r="D197" s="5" t="s">
        <v>522</v>
      </c>
      <c r="E197" s="5" t="s">
        <v>522</v>
      </c>
      <c r="F197" t="b">
        <v>1</v>
      </c>
      <c r="G197" s="5" t="s">
        <v>522</v>
      </c>
      <c r="H197" t="s">
        <v>523</v>
      </c>
      <c r="I197" t="b">
        <v>1</v>
      </c>
    </row>
    <row r="198" spans="1:9">
      <c r="A198" s="1" t="s">
        <v>38</v>
      </c>
      <c r="B198" t="s">
        <v>523</v>
      </c>
      <c r="C198" t="str">
        <f t="shared" si="3"/>
        <v>PAN_Shashikantbhai P Patel</v>
      </c>
      <c r="D198" s="5" t="s">
        <v>522</v>
      </c>
      <c r="E198" s="5" t="s">
        <v>522</v>
      </c>
      <c r="F198" t="b">
        <v>1</v>
      </c>
      <c r="G198" s="5" t="s">
        <v>522</v>
      </c>
      <c r="H198" t="s">
        <v>523</v>
      </c>
      <c r="I198" t="b">
        <v>1</v>
      </c>
    </row>
    <row r="199" spans="1:9">
      <c r="A199" s="1" t="s">
        <v>371</v>
      </c>
      <c r="B199" t="s">
        <v>523</v>
      </c>
      <c r="C199" t="str">
        <f t="shared" si="3"/>
        <v>PAN_Synbio Technova P. Ltd</v>
      </c>
      <c r="D199" s="5" t="s">
        <v>522</v>
      </c>
      <c r="E199" s="5" t="s">
        <v>522</v>
      </c>
      <c r="F199" t="b">
        <v>1</v>
      </c>
      <c r="G199" s="5" t="s">
        <v>522</v>
      </c>
      <c r="H199" t="s">
        <v>523</v>
      </c>
      <c r="I199" t="b">
        <v>1</v>
      </c>
    </row>
    <row r="200" spans="1:9">
      <c r="A200" s="1" t="s">
        <v>436</v>
      </c>
      <c r="B200" t="s">
        <v>523</v>
      </c>
      <c r="C200" t="str">
        <f t="shared" si="3"/>
        <v>PAN_Qodic Technosoft LLP</v>
      </c>
      <c r="D200" s="5" t="s">
        <v>522</v>
      </c>
      <c r="E200" s="5" t="s">
        <v>522</v>
      </c>
      <c r="F200" t="b">
        <v>1</v>
      </c>
      <c r="G200" s="5" t="s">
        <v>522</v>
      </c>
      <c r="H200" t="s">
        <v>523</v>
      </c>
      <c r="I200" t="b">
        <v>1</v>
      </c>
    </row>
    <row r="201" spans="1:9">
      <c r="A201" s="1" t="s">
        <v>457</v>
      </c>
      <c r="B201" t="s">
        <v>523</v>
      </c>
      <c r="C201" t="str">
        <f t="shared" si="3"/>
        <v>PAN_BVC Logistic Pvt  Ltd</v>
      </c>
      <c r="D201" s="5" t="s">
        <v>522</v>
      </c>
      <c r="E201" s="5" t="s">
        <v>522</v>
      </c>
      <c r="F201" t="b">
        <v>1</v>
      </c>
      <c r="G201" s="5" t="s">
        <v>522</v>
      </c>
      <c r="H201" t="s">
        <v>523</v>
      </c>
      <c r="I201" t="b">
        <v>1</v>
      </c>
    </row>
    <row r="202" spans="1:9">
      <c r="A202" s="1" t="s">
        <v>291</v>
      </c>
      <c r="B202" t="s">
        <v>523</v>
      </c>
      <c r="C202" t="str">
        <f t="shared" si="3"/>
        <v>PAN_M_S.Shree Developers</v>
      </c>
      <c r="D202" s="5" t="s">
        <v>522</v>
      </c>
      <c r="E202" s="5" t="s">
        <v>522</v>
      </c>
      <c r="F202" t="b">
        <v>1</v>
      </c>
      <c r="G202" s="5" t="s">
        <v>522</v>
      </c>
      <c r="H202" t="s">
        <v>523</v>
      </c>
      <c r="I202" t="b">
        <v>1</v>
      </c>
    </row>
    <row r="203" spans="1:9">
      <c r="A203" s="1" t="s">
        <v>32</v>
      </c>
      <c r="B203" t="s">
        <v>523</v>
      </c>
      <c r="C203" t="str">
        <f t="shared" si="3"/>
        <v>PAN_Cengres Tiles Ltd.</v>
      </c>
      <c r="D203" s="5" t="s">
        <v>522</v>
      </c>
      <c r="E203" s="5" t="s">
        <v>522</v>
      </c>
      <c r="F203" t="b">
        <v>1</v>
      </c>
      <c r="G203" s="5" t="s">
        <v>522</v>
      </c>
      <c r="H203" t="s">
        <v>523</v>
      </c>
      <c r="I203" t="b">
        <v>1</v>
      </c>
    </row>
    <row r="204" spans="1:9">
      <c r="A204" s="1" t="s">
        <v>395</v>
      </c>
      <c r="B204" t="s">
        <v>523</v>
      </c>
      <c r="C204" t="str">
        <f t="shared" si="3"/>
        <v>PAN_Jagdishbhai Nathabhai Patel</v>
      </c>
      <c r="D204" s="5" t="s">
        <v>522</v>
      </c>
      <c r="E204" s="5" t="s">
        <v>522</v>
      </c>
      <c r="F204" t="b">
        <v>1</v>
      </c>
      <c r="G204" s="5" t="s">
        <v>522</v>
      </c>
      <c r="H204" t="s">
        <v>523</v>
      </c>
      <c r="I204" t="b">
        <v>1</v>
      </c>
    </row>
    <row r="205" spans="1:9">
      <c r="A205" s="1" t="s">
        <v>142</v>
      </c>
      <c r="B205" t="s">
        <v>523</v>
      </c>
      <c r="C205" t="str">
        <f t="shared" si="3"/>
        <v>PAN_B.K. Patel</v>
      </c>
      <c r="D205" s="5" t="s">
        <v>522</v>
      </c>
      <c r="E205" s="5" t="s">
        <v>522</v>
      </c>
      <c r="F205" t="b">
        <v>1</v>
      </c>
      <c r="G205" s="5" t="s">
        <v>522</v>
      </c>
      <c r="H205" t="s">
        <v>523</v>
      </c>
      <c r="I205" t="b">
        <v>1</v>
      </c>
    </row>
    <row r="206" spans="1:9">
      <c r="A206" s="1" t="s">
        <v>331</v>
      </c>
      <c r="B206" t="s">
        <v>523</v>
      </c>
      <c r="C206" t="str">
        <f t="shared" si="3"/>
        <v>PAN_Monil Hasmukhbhai Parikh</v>
      </c>
      <c r="D206" s="5" t="s">
        <v>522</v>
      </c>
      <c r="E206" s="5" t="s">
        <v>522</v>
      </c>
      <c r="F206" t="b">
        <v>1</v>
      </c>
      <c r="G206" s="5" t="s">
        <v>522</v>
      </c>
      <c r="H206" t="s">
        <v>523</v>
      </c>
      <c r="I206" t="b">
        <v>1</v>
      </c>
    </row>
    <row r="207" spans="1:9">
      <c r="A207" s="1" t="s">
        <v>382</v>
      </c>
      <c r="B207" t="s">
        <v>523</v>
      </c>
      <c r="C207" t="str">
        <f t="shared" si="3"/>
        <v>PAN_Ganpat University</v>
      </c>
      <c r="D207" s="5" t="s">
        <v>522</v>
      </c>
      <c r="E207" s="5" t="s">
        <v>522</v>
      </c>
      <c r="F207" t="b">
        <v>1</v>
      </c>
      <c r="G207" s="5" t="s">
        <v>522</v>
      </c>
      <c r="H207" t="s">
        <v>523</v>
      </c>
      <c r="I207" t="b">
        <v>1</v>
      </c>
    </row>
    <row r="208" spans="1:9">
      <c r="A208" s="1" t="s">
        <v>18</v>
      </c>
      <c r="B208" t="s">
        <v>523</v>
      </c>
      <c r="C208" t="str">
        <f t="shared" si="3"/>
        <v>PAN_Nayana Rajnikant Patel</v>
      </c>
      <c r="D208" s="5" t="s">
        <v>522</v>
      </c>
      <c r="E208" s="5" t="s">
        <v>522</v>
      </c>
      <c r="F208" t="b">
        <v>1</v>
      </c>
      <c r="G208" s="5" t="s">
        <v>522</v>
      </c>
      <c r="H208" t="s">
        <v>523</v>
      </c>
      <c r="I208" t="b">
        <v>1</v>
      </c>
    </row>
    <row r="209" spans="1:9">
      <c r="A209" s="1" t="s">
        <v>299</v>
      </c>
      <c r="B209" t="s">
        <v>523</v>
      </c>
      <c r="C209" t="str">
        <f t="shared" si="3"/>
        <v>PAN_Dhaval B Patel</v>
      </c>
      <c r="D209" s="5" t="s">
        <v>522</v>
      </c>
      <c r="E209" s="5" t="s">
        <v>522</v>
      </c>
      <c r="F209" t="b">
        <v>1</v>
      </c>
      <c r="G209" s="5" t="s">
        <v>522</v>
      </c>
      <c r="H209" t="s">
        <v>523</v>
      </c>
      <c r="I209" t="b">
        <v>1</v>
      </c>
    </row>
    <row r="210" spans="1:9">
      <c r="A210" s="1" t="s">
        <v>30</v>
      </c>
      <c r="B210" t="s">
        <v>523</v>
      </c>
      <c r="C210" t="str">
        <f t="shared" si="3"/>
        <v>PAN_Avadhoot Project Pvt Ltd</v>
      </c>
      <c r="D210" s="5" t="s">
        <v>522</v>
      </c>
      <c r="E210" s="5" t="s">
        <v>522</v>
      </c>
      <c r="F210" t="b">
        <v>1</v>
      </c>
      <c r="G210" s="5" t="s">
        <v>522</v>
      </c>
      <c r="H210" t="s">
        <v>523</v>
      </c>
      <c r="I210" t="b">
        <v>1</v>
      </c>
    </row>
    <row r="211" spans="1:9">
      <c r="A211" s="1" t="s">
        <v>424</v>
      </c>
      <c r="B211" t="s">
        <v>523</v>
      </c>
      <c r="C211" t="str">
        <f t="shared" si="3"/>
        <v>PAN_Patel Lalitaben Pankajbhai</v>
      </c>
      <c r="D211" s="5" t="s">
        <v>522</v>
      </c>
      <c r="E211" s="5" t="s">
        <v>522</v>
      </c>
      <c r="F211" t="b">
        <v>1</v>
      </c>
      <c r="G211" s="5" t="s">
        <v>522</v>
      </c>
      <c r="H211" t="s">
        <v>523</v>
      </c>
      <c r="I211" t="b">
        <v>1</v>
      </c>
    </row>
    <row r="212" spans="1:9">
      <c r="A212" s="1" t="s">
        <v>340</v>
      </c>
      <c r="B212" t="s">
        <v>523</v>
      </c>
      <c r="C212" t="str">
        <f t="shared" si="3"/>
        <v>PAN_Rajesh D Shah</v>
      </c>
      <c r="D212" s="5" t="s">
        <v>522</v>
      </c>
      <c r="E212" s="5" t="s">
        <v>522</v>
      </c>
      <c r="F212" t="b">
        <v>1</v>
      </c>
      <c r="G212" s="5" t="s">
        <v>522</v>
      </c>
      <c r="H212" t="s">
        <v>523</v>
      </c>
      <c r="I212" t="b">
        <v>1</v>
      </c>
    </row>
    <row r="213" spans="1:9">
      <c r="A213" s="1" t="s">
        <v>121</v>
      </c>
      <c r="B213" t="s">
        <v>523</v>
      </c>
      <c r="C213" t="str">
        <f t="shared" si="3"/>
        <v>PAN_Ansi Bytecode LLP</v>
      </c>
      <c r="D213" s="5" t="s">
        <v>522</v>
      </c>
      <c r="E213" s="5" t="s">
        <v>522</v>
      </c>
      <c r="F213" t="b">
        <v>1</v>
      </c>
      <c r="G213" s="5" t="s">
        <v>522</v>
      </c>
      <c r="H213" t="s">
        <v>523</v>
      </c>
      <c r="I213" t="b">
        <v>1</v>
      </c>
    </row>
    <row r="214" spans="1:9">
      <c r="A214" s="1" t="s">
        <v>28</v>
      </c>
      <c r="B214" t="s">
        <v>523</v>
      </c>
      <c r="C214" t="str">
        <f t="shared" si="3"/>
        <v>PAN_Kapilaben Shakarabhai Patel</v>
      </c>
      <c r="D214" s="5" t="s">
        <v>522</v>
      </c>
      <c r="E214" s="5" t="s">
        <v>522</v>
      </c>
      <c r="F214" t="b">
        <v>1</v>
      </c>
      <c r="G214" s="5" t="s">
        <v>522</v>
      </c>
      <c r="H214" t="s">
        <v>523</v>
      </c>
      <c r="I214" t="b">
        <v>1</v>
      </c>
    </row>
    <row r="215" spans="1:9">
      <c r="A215" s="1" t="s">
        <v>119</v>
      </c>
      <c r="B215" t="s">
        <v>523</v>
      </c>
      <c r="C215" t="str">
        <f t="shared" si="3"/>
        <v>PAN_Avisha Technologies</v>
      </c>
      <c r="D215" s="5" t="s">
        <v>522</v>
      </c>
      <c r="E215" s="5" t="s">
        <v>522</v>
      </c>
      <c r="F215" t="b">
        <v>1</v>
      </c>
      <c r="G215" s="5" t="s">
        <v>522</v>
      </c>
      <c r="H215" t="s">
        <v>523</v>
      </c>
      <c r="I215" t="b">
        <v>1</v>
      </c>
    </row>
    <row r="216" spans="1:9">
      <c r="A216" s="1" t="s">
        <v>181</v>
      </c>
      <c r="B216" t="s">
        <v>523</v>
      </c>
      <c r="C216" t="str">
        <f t="shared" si="3"/>
        <v>PAN_Rajendra R Shukla</v>
      </c>
      <c r="D216" s="5" t="s">
        <v>522</v>
      </c>
      <c r="E216" s="5" t="s">
        <v>522</v>
      </c>
      <c r="F216" t="b">
        <v>1</v>
      </c>
      <c r="G216" s="5" t="s">
        <v>522</v>
      </c>
      <c r="H216" t="s">
        <v>523</v>
      </c>
      <c r="I216" t="b">
        <v>1</v>
      </c>
    </row>
    <row r="217" spans="1:9">
      <c r="A217" s="1" t="s">
        <v>26</v>
      </c>
      <c r="B217" t="s">
        <v>523</v>
      </c>
      <c r="C217" t="str">
        <f t="shared" si="3"/>
        <v>PAN_Laxmiben Shantilal Shah</v>
      </c>
      <c r="D217" s="5" t="s">
        <v>522</v>
      </c>
      <c r="E217" s="5" t="s">
        <v>522</v>
      </c>
      <c r="F217" t="b">
        <v>1</v>
      </c>
      <c r="G217" s="5" t="s">
        <v>522</v>
      </c>
      <c r="H217" t="s">
        <v>523</v>
      </c>
      <c r="I217" t="b">
        <v>1</v>
      </c>
    </row>
    <row r="218" spans="1:9">
      <c r="A218" s="1" t="s">
        <v>135</v>
      </c>
      <c r="B218" t="s">
        <v>523</v>
      </c>
      <c r="C218" t="str">
        <f t="shared" si="3"/>
        <v xml:space="preserve">PAN_Mr. Ravjibhai Nagarbhai patel </v>
      </c>
      <c r="D218" s="5" t="s">
        <v>522</v>
      </c>
      <c r="E218" s="5" t="s">
        <v>522</v>
      </c>
      <c r="F218" t="b">
        <v>1</v>
      </c>
      <c r="G218" s="5" t="s">
        <v>522</v>
      </c>
      <c r="H218" t="s">
        <v>523</v>
      </c>
      <c r="I218" t="b">
        <v>1</v>
      </c>
    </row>
    <row r="219" spans="1:9">
      <c r="A219" s="1" t="s">
        <v>193</v>
      </c>
      <c r="B219" t="s">
        <v>523</v>
      </c>
      <c r="C219" t="str">
        <f t="shared" si="3"/>
        <v>PAN_Balark Chemicals</v>
      </c>
      <c r="D219" s="5" t="s">
        <v>522</v>
      </c>
      <c r="E219" s="5" t="s">
        <v>522</v>
      </c>
      <c r="F219" t="b">
        <v>1</v>
      </c>
      <c r="G219" s="5" t="s">
        <v>522</v>
      </c>
      <c r="H219" t="s">
        <v>523</v>
      </c>
      <c r="I219" t="b">
        <v>1</v>
      </c>
    </row>
    <row r="220" spans="1:9">
      <c r="A220" s="1" t="s">
        <v>358</v>
      </c>
      <c r="B220" t="s">
        <v>523</v>
      </c>
      <c r="C220" t="str">
        <f t="shared" si="3"/>
        <v>PAN_Moon Technolabs</v>
      </c>
      <c r="D220" s="5" t="s">
        <v>522</v>
      </c>
      <c r="E220" s="5" t="s">
        <v>522</v>
      </c>
      <c r="F220" t="b">
        <v>1</v>
      </c>
      <c r="G220" s="5" t="s">
        <v>522</v>
      </c>
      <c r="H220" t="s">
        <v>523</v>
      </c>
      <c r="I220" t="b">
        <v>1</v>
      </c>
    </row>
    <row r="221" spans="1:9">
      <c r="A221" s="1" t="s">
        <v>327</v>
      </c>
      <c r="B221" t="s">
        <v>523</v>
      </c>
      <c r="C221" t="str">
        <f t="shared" si="3"/>
        <v xml:space="preserve">PAN_Mukeshbhai K Patel </v>
      </c>
      <c r="D221" s="5" t="s">
        <v>522</v>
      </c>
      <c r="E221" s="5" t="s">
        <v>522</v>
      </c>
      <c r="F221" t="b">
        <v>1</v>
      </c>
      <c r="G221" s="5" t="s">
        <v>522</v>
      </c>
      <c r="H221" t="s">
        <v>523</v>
      </c>
      <c r="I221" t="b">
        <v>1</v>
      </c>
    </row>
    <row r="222" spans="1:9">
      <c r="A222" s="1" t="s">
        <v>34</v>
      </c>
      <c r="B222" t="s">
        <v>523</v>
      </c>
      <c r="C222" t="str">
        <f t="shared" si="3"/>
        <v>PAN_Vishwas Cafeteria</v>
      </c>
      <c r="D222" s="5" t="s">
        <v>522</v>
      </c>
      <c r="E222" s="5" t="s">
        <v>522</v>
      </c>
      <c r="F222" t="b">
        <v>1</v>
      </c>
      <c r="G222" s="5" t="s">
        <v>522</v>
      </c>
      <c r="H222" t="s">
        <v>523</v>
      </c>
      <c r="I222" t="b">
        <v>1</v>
      </c>
    </row>
    <row r="223" spans="1:9">
      <c r="A223" s="1" t="s">
        <v>6</v>
      </c>
      <c r="B223" t="s">
        <v>523</v>
      </c>
      <c r="C223" t="str">
        <f t="shared" si="3"/>
        <v>PAN_Shree Siddhi Infrabuild Pvt Ltd</v>
      </c>
      <c r="D223" s="5" t="s">
        <v>522</v>
      </c>
      <c r="E223" s="5" t="s">
        <v>522</v>
      </c>
      <c r="F223" t="b">
        <v>1</v>
      </c>
      <c r="G223" s="5" t="s">
        <v>522</v>
      </c>
      <c r="H223" t="s">
        <v>523</v>
      </c>
      <c r="I223" t="b">
        <v>1</v>
      </c>
    </row>
    <row r="224" spans="1:9">
      <c r="A224" s="1" t="s">
        <v>217</v>
      </c>
      <c r="B224" t="s">
        <v>523</v>
      </c>
      <c r="C224" t="str">
        <f t="shared" si="3"/>
        <v>PAN_Manj &amp; Associates</v>
      </c>
      <c r="D224" s="5" t="s">
        <v>522</v>
      </c>
      <c r="E224" s="5" t="s">
        <v>522</v>
      </c>
      <c r="F224" t="b">
        <v>1</v>
      </c>
      <c r="G224" s="5" t="s">
        <v>522</v>
      </c>
      <c r="H224" t="s">
        <v>523</v>
      </c>
      <c r="I224" t="b">
        <v>1</v>
      </c>
    </row>
    <row r="225" spans="1:9">
      <c r="A225" s="1" t="s">
        <v>42</v>
      </c>
      <c r="B225" t="s">
        <v>523</v>
      </c>
      <c r="C225" t="str">
        <f t="shared" si="3"/>
        <v>PAN_Samir B Dalal</v>
      </c>
      <c r="D225" s="5" t="s">
        <v>522</v>
      </c>
      <c r="E225" s="5" t="s">
        <v>522</v>
      </c>
      <c r="F225" t="b">
        <v>1</v>
      </c>
      <c r="G225" s="5" t="s">
        <v>522</v>
      </c>
      <c r="H225" t="s">
        <v>523</v>
      </c>
      <c r="I225" t="b">
        <v>1</v>
      </c>
    </row>
    <row r="226" spans="1:9">
      <c r="A226" s="1" t="s">
        <v>297</v>
      </c>
      <c r="B226" t="s">
        <v>523</v>
      </c>
      <c r="C226" t="str">
        <f t="shared" si="3"/>
        <v>PAN_Harnil Oza</v>
      </c>
      <c r="D226" s="5" t="s">
        <v>522</v>
      </c>
      <c r="E226" s="5" t="s">
        <v>522</v>
      </c>
      <c r="F226" t="b">
        <v>1</v>
      </c>
      <c r="G226" s="5" t="s">
        <v>522</v>
      </c>
      <c r="H226" t="s">
        <v>523</v>
      </c>
      <c r="I226" t="b">
        <v>1</v>
      </c>
    </row>
    <row r="227" spans="1:9">
      <c r="A227" s="1" t="s">
        <v>281</v>
      </c>
      <c r="B227" t="s">
        <v>523</v>
      </c>
      <c r="C227" t="str">
        <f t="shared" si="3"/>
        <v>PAN_Manjula M Jaiswal</v>
      </c>
      <c r="D227" s="5" t="s">
        <v>522</v>
      </c>
      <c r="E227" s="5" t="s">
        <v>522</v>
      </c>
      <c r="F227" t="b">
        <v>1</v>
      </c>
      <c r="G227" s="5" t="s">
        <v>522</v>
      </c>
      <c r="H227" t="s">
        <v>523</v>
      </c>
      <c r="I227" t="b">
        <v>1</v>
      </c>
    </row>
    <row r="228" spans="1:9">
      <c r="A228" s="1" t="s">
        <v>410</v>
      </c>
      <c r="B228" t="s">
        <v>523</v>
      </c>
      <c r="C228" t="str">
        <f t="shared" si="3"/>
        <v>PAN_Gujarat Apollo Industries Ltd</v>
      </c>
      <c r="D228" s="5" t="s">
        <v>522</v>
      </c>
      <c r="E228" s="5" t="s">
        <v>522</v>
      </c>
      <c r="F228" t="b">
        <v>1</v>
      </c>
      <c r="G228" s="5" t="s">
        <v>522</v>
      </c>
      <c r="H228" t="s">
        <v>523</v>
      </c>
      <c r="I228" t="b">
        <v>1</v>
      </c>
    </row>
    <row r="229" spans="1:9">
      <c r="A229" s="1" t="s">
        <v>152</v>
      </c>
      <c r="B229" t="s">
        <v>523</v>
      </c>
      <c r="C229" t="str">
        <f t="shared" si="3"/>
        <v>PAN_Kishor P Sompura</v>
      </c>
      <c r="D229" s="5" t="s">
        <v>522</v>
      </c>
      <c r="E229" s="5" t="s">
        <v>522</v>
      </c>
      <c r="F229" t="b">
        <v>1</v>
      </c>
      <c r="G229" s="5" t="s">
        <v>522</v>
      </c>
      <c r="H229" t="s">
        <v>523</v>
      </c>
      <c r="I229" t="b">
        <v>1</v>
      </c>
    </row>
    <row r="230" spans="1:9">
      <c r="A230" s="1" t="s">
        <v>346</v>
      </c>
      <c r="B230" t="s">
        <v>523</v>
      </c>
      <c r="C230" t="str">
        <f t="shared" si="3"/>
        <v>PAN_Maheshwari Sales Corp</v>
      </c>
      <c r="D230" s="5" t="s">
        <v>522</v>
      </c>
      <c r="E230" s="5" t="s">
        <v>522</v>
      </c>
      <c r="F230" t="b">
        <v>1</v>
      </c>
      <c r="G230" s="5" t="s">
        <v>522</v>
      </c>
      <c r="H230" t="s">
        <v>523</v>
      </c>
      <c r="I230" t="b">
        <v>1</v>
      </c>
    </row>
    <row r="231" spans="1:9">
      <c r="A231" s="1" t="s">
        <v>171</v>
      </c>
      <c r="B231" t="s">
        <v>523</v>
      </c>
      <c r="C231" t="str">
        <f t="shared" si="3"/>
        <v>PAN_Palval Hair Transplant Clinic</v>
      </c>
      <c r="D231" s="5" t="s">
        <v>522</v>
      </c>
      <c r="E231" s="5" t="s">
        <v>522</v>
      </c>
      <c r="F231" t="b">
        <v>1</v>
      </c>
      <c r="G231" s="5" t="s">
        <v>522</v>
      </c>
      <c r="H231" t="s">
        <v>523</v>
      </c>
      <c r="I231" t="b">
        <v>1</v>
      </c>
    </row>
    <row r="232" spans="1:9">
      <c r="A232" s="1" t="s">
        <v>12</v>
      </c>
      <c r="B232" t="s">
        <v>523</v>
      </c>
      <c r="C232" t="str">
        <f t="shared" si="3"/>
        <v>PAN_Akik Tiles Ltd.</v>
      </c>
      <c r="D232" s="5" t="s">
        <v>522</v>
      </c>
      <c r="E232" s="5" t="s">
        <v>522</v>
      </c>
      <c r="F232" t="b">
        <v>1</v>
      </c>
      <c r="G232" s="5" t="s">
        <v>522</v>
      </c>
      <c r="H232" t="s">
        <v>523</v>
      </c>
      <c r="I232" t="b">
        <v>1</v>
      </c>
    </row>
    <row r="233" spans="1:9">
      <c r="A233" s="1" t="s">
        <v>319</v>
      </c>
      <c r="B233" t="s">
        <v>523</v>
      </c>
      <c r="C233" t="str">
        <f t="shared" si="3"/>
        <v>PAN_Harnil Bhargav Oza</v>
      </c>
      <c r="D233" s="5" t="s">
        <v>522</v>
      </c>
      <c r="E233" s="5" t="s">
        <v>522</v>
      </c>
      <c r="F233" t="b">
        <v>1</v>
      </c>
      <c r="G233" s="5" t="s">
        <v>522</v>
      </c>
      <c r="H233" t="s">
        <v>523</v>
      </c>
      <c r="I233" t="b">
        <v>1</v>
      </c>
    </row>
    <row r="234" spans="1:9">
      <c r="A234" s="1" t="s">
        <v>211</v>
      </c>
      <c r="B234" t="s">
        <v>523</v>
      </c>
      <c r="C234" t="str">
        <f t="shared" si="3"/>
        <v>PAN_Solderma Pharma</v>
      </c>
      <c r="D234" s="5" t="s">
        <v>522</v>
      </c>
      <c r="E234" s="5" t="s">
        <v>522</v>
      </c>
      <c r="F234" t="b">
        <v>1</v>
      </c>
      <c r="G234" s="5" t="s">
        <v>522</v>
      </c>
      <c r="H234" t="s">
        <v>523</v>
      </c>
      <c r="I234" t="b">
        <v>1</v>
      </c>
    </row>
    <row r="235" spans="1:9">
      <c r="A235" s="1" t="s">
        <v>185</v>
      </c>
      <c r="B235" t="s">
        <v>523</v>
      </c>
      <c r="C235" t="str">
        <f t="shared" si="3"/>
        <v>PAN_Bharat Pesticides Industries Pv</v>
      </c>
      <c r="D235" s="5" t="s">
        <v>522</v>
      </c>
      <c r="E235" s="5" t="s">
        <v>522</v>
      </c>
      <c r="F235" t="b">
        <v>1</v>
      </c>
      <c r="G235" s="5" t="s">
        <v>522</v>
      </c>
      <c r="H235" t="s">
        <v>523</v>
      </c>
      <c r="I235" t="b">
        <v>1</v>
      </c>
    </row>
    <row r="236" spans="1:9">
      <c r="A236" s="1" t="s">
        <v>444</v>
      </c>
      <c r="B236" t="s">
        <v>523</v>
      </c>
      <c r="C236" t="str">
        <f t="shared" si="3"/>
        <v>PAN_Letsnurture Infotech Pvt Ltd</v>
      </c>
      <c r="D236" s="5" t="s">
        <v>522</v>
      </c>
      <c r="E236" s="5" t="s">
        <v>522</v>
      </c>
      <c r="F236" t="b">
        <v>1</v>
      </c>
      <c r="G236" s="5" t="s">
        <v>522</v>
      </c>
      <c r="H236" t="s">
        <v>523</v>
      </c>
      <c r="I236" t="b">
        <v>1</v>
      </c>
    </row>
    <row r="237" spans="1:9">
      <c r="A237" s="1" t="s">
        <v>16</v>
      </c>
      <c r="B237" t="s">
        <v>523</v>
      </c>
      <c r="C237" t="str">
        <f t="shared" si="3"/>
        <v>PAN_Astron Paper&amp;Board Ltd</v>
      </c>
      <c r="D237" s="5" t="s">
        <v>522</v>
      </c>
      <c r="E237" s="5" t="s">
        <v>522</v>
      </c>
      <c r="F237" t="b">
        <v>1</v>
      </c>
      <c r="G237" s="5" t="s">
        <v>522</v>
      </c>
      <c r="H237" t="s">
        <v>523</v>
      </c>
      <c r="I237" t="b">
        <v>1</v>
      </c>
    </row>
    <row r="238" spans="1:9">
      <c r="A238" s="1" t="s">
        <v>201</v>
      </c>
      <c r="B238" t="s">
        <v>523</v>
      </c>
      <c r="C238" t="str">
        <f t="shared" si="3"/>
        <v>PAN_Mukeshbhai Panchal</v>
      </c>
      <c r="D238" s="5" t="s">
        <v>522</v>
      </c>
      <c r="E238" s="5" t="s">
        <v>522</v>
      </c>
      <c r="F238" t="b">
        <v>1</v>
      </c>
      <c r="G238" s="5" t="s">
        <v>522</v>
      </c>
      <c r="H238" t="s">
        <v>523</v>
      </c>
      <c r="I238" t="b">
        <v>1</v>
      </c>
    </row>
    <row r="239" spans="1:9">
      <c r="A239" s="1" t="s">
        <v>428</v>
      </c>
      <c r="B239" t="s">
        <v>523</v>
      </c>
      <c r="C239" t="str">
        <f t="shared" si="3"/>
        <v>PAN_Daksaben Sureshbhai Prajapati</v>
      </c>
      <c r="D239" s="5" t="s">
        <v>522</v>
      </c>
      <c r="E239" s="5" t="s">
        <v>522</v>
      </c>
      <c r="F239" t="b">
        <v>1</v>
      </c>
      <c r="G239" s="5" t="s">
        <v>522</v>
      </c>
      <c r="H239" t="s">
        <v>523</v>
      </c>
      <c r="I239" t="b">
        <v>1</v>
      </c>
    </row>
    <row r="240" spans="1:9">
      <c r="A240" s="1" t="s">
        <v>448</v>
      </c>
      <c r="B240" t="s">
        <v>523</v>
      </c>
      <c r="C240" t="str">
        <f t="shared" si="3"/>
        <v xml:space="preserve">PAN_Gauravkumar D Patel </v>
      </c>
      <c r="D240" s="5" t="s">
        <v>522</v>
      </c>
      <c r="E240" s="5" t="s">
        <v>522</v>
      </c>
      <c r="F240" t="b">
        <v>1</v>
      </c>
      <c r="G240" s="5" t="s">
        <v>522</v>
      </c>
      <c r="H240" t="s">
        <v>523</v>
      </c>
      <c r="I240" t="b">
        <v>1</v>
      </c>
    </row>
    <row r="241" spans="1:9">
      <c r="A241" s="1" t="s">
        <v>158</v>
      </c>
      <c r="B241" t="s">
        <v>523</v>
      </c>
      <c r="C241" t="str">
        <f t="shared" si="3"/>
        <v>PAN_Niral Rashmikant Mehta</v>
      </c>
      <c r="D241" s="5" t="s">
        <v>522</v>
      </c>
      <c r="E241" s="5" t="s">
        <v>522</v>
      </c>
      <c r="F241" t="b">
        <v>1</v>
      </c>
      <c r="G241" s="5" t="s">
        <v>522</v>
      </c>
      <c r="H241" t="s">
        <v>523</v>
      </c>
      <c r="I241" t="b">
        <v>1</v>
      </c>
    </row>
    <row r="242" spans="1:9">
      <c r="A242" s="1" t="s">
        <v>273</v>
      </c>
      <c r="B242" t="s">
        <v>523</v>
      </c>
      <c r="C242" t="str">
        <f t="shared" si="3"/>
        <v>PAN_Shreemali Daxaben Maheshbhai</v>
      </c>
      <c r="D242" s="5" t="s">
        <v>522</v>
      </c>
      <c r="E242" s="5" t="s">
        <v>522</v>
      </c>
      <c r="F242" t="b">
        <v>1</v>
      </c>
      <c r="G242" s="5" t="s">
        <v>522</v>
      </c>
      <c r="H242" t="s">
        <v>523</v>
      </c>
      <c r="I242" t="b">
        <v>1</v>
      </c>
    </row>
    <row r="243" spans="1:9">
      <c r="A243" s="1" t="s">
        <v>242</v>
      </c>
      <c r="B243" t="s">
        <v>523</v>
      </c>
      <c r="C243" t="str">
        <f t="shared" si="3"/>
        <v>PAN_Nareshbhai Dahyabhai Patel</v>
      </c>
      <c r="D243" s="5" t="s">
        <v>522</v>
      </c>
      <c r="E243" s="5" t="s">
        <v>522</v>
      </c>
      <c r="F243" t="b">
        <v>1</v>
      </c>
      <c r="G243" s="5" t="s">
        <v>522</v>
      </c>
      <c r="H243" t="s">
        <v>523</v>
      </c>
      <c r="I243" t="b">
        <v>1</v>
      </c>
    </row>
    <row r="244" spans="1:9">
      <c r="A244" s="2" t="s">
        <v>20</v>
      </c>
      <c r="B244" t="s">
        <v>523</v>
      </c>
      <c r="C244" t="str">
        <f t="shared" si="3"/>
        <v>PAN_Jitendra B Patel</v>
      </c>
      <c r="D244" s="5" t="s">
        <v>522</v>
      </c>
      <c r="E244" s="5" t="s">
        <v>522</v>
      </c>
      <c r="F244" t="b">
        <v>1</v>
      </c>
      <c r="G244" s="5" t="s">
        <v>522</v>
      </c>
      <c r="H244" t="s">
        <v>523</v>
      </c>
      <c r="I244" t="b">
        <v>1</v>
      </c>
    </row>
    <row r="245" spans="1:9">
      <c r="A245" s="2" t="s">
        <v>148</v>
      </c>
      <c r="B245" t="s">
        <v>523</v>
      </c>
      <c r="C245" t="str">
        <f t="shared" si="3"/>
        <v>PAN_Nathalal Babulal Jani</v>
      </c>
      <c r="D245" s="5" t="s">
        <v>522</v>
      </c>
      <c r="E245" s="5" t="s">
        <v>522</v>
      </c>
      <c r="F245" t="b">
        <v>1</v>
      </c>
      <c r="G245" s="5" t="s">
        <v>522</v>
      </c>
      <c r="H245" t="s">
        <v>523</v>
      </c>
      <c r="I245" t="b">
        <v>1</v>
      </c>
    </row>
    <row r="246" spans="1:9">
      <c r="A246" s="1" t="s">
        <v>250</v>
      </c>
      <c r="B246" t="s">
        <v>523</v>
      </c>
      <c r="C246" t="str">
        <f t="shared" si="3"/>
        <v>PAN_Harshaben Mineshbhai Solanki</v>
      </c>
      <c r="D246" s="5" t="s">
        <v>522</v>
      </c>
      <c r="E246" s="5" t="s">
        <v>522</v>
      </c>
      <c r="F246" t="b">
        <v>1</v>
      </c>
      <c r="G246" s="5" t="s">
        <v>522</v>
      </c>
      <c r="H246" t="s">
        <v>523</v>
      </c>
      <c r="I246" t="b">
        <v>1</v>
      </c>
    </row>
    <row r="247" spans="1:9">
      <c r="A247" s="1" t="s">
        <v>366</v>
      </c>
      <c r="B247" t="s">
        <v>523</v>
      </c>
      <c r="C247" t="str">
        <f t="shared" si="3"/>
        <v>PAN_Shweta Suha</v>
      </c>
      <c r="D247" s="5" t="s">
        <v>522</v>
      </c>
      <c r="E247" s="5" t="s">
        <v>522</v>
      </c>
      <c r="F247" t="b">
        <v>1</v>
      </c>
      <c r="G247" s="5" t="s">
        <v>522</v>
      </c>
      <c r="H247" t="s">
        <v>523</v>
      </c>
      <c r="I247" t="b">
        <v>1</v>
      </c>
    </row>
    <row r="248" spans="1:9">
      <c r="A248" s="1" t="s">
        <v>233</v>
      </c>
      <c r="B248" t="s">
        <v>523</v>
      </c>
      <c r="C248" t="str">
        <f t="shared" si="3"/>
        <v xml:space="preserve">PAN_Tribhovanbhai R Patel </v>
      </c>
      <c r="D248" s="5" t="s">
        <v>522</v>
      </c>
      <c r="E248" s="5" t="s">
        <v>522</v>
      </c>
      <c r="F248" t="b">
        <v>1</v>
      </c>
      <c r="G248" s="5" t="s">
        <v>522</v>
      </c>
      <c r="H248" t="s">
        <v>523</v>
      </c>
      <c r="I248" t="b">
        <v>1</v>
      </c>
    </row>
    <row r="249" spans="1:9">
      <c r="A249" s="1" t="s">
        <v>156</v>
      </c>
      <c r="B249" t="s">
        <v>523</v>
      </c>
      <c r="C249" t="str">
        <f t="shared" si="3"/>
        <v>PAN_Mamtadevi Shreykumar Dugar</v>
      </c>
      <c r="D249" s="5" t="s">
        <v>522</v>
      </c>
      <c r="E249" s="5" t="s">
        <v>522</v>
      </c>
      <c r="F249" t="b">
        <v>1</v>
      </c>
      <c r="G249" s="5" t="s">
        <v>522</v>
      </c>
      <c r="H249" t="s">
        <v>523</v>
      </c>
      <c r="I249" t="b">
        <v>1</v>
      </c>
    </row>
    <row r="250" spans="1:9">
      <c r="A250" s="1" t="s">
        <v>463</v>
      </c>
      <c r="B250" t="s">
        <v>523</v>
      </c>
      <c r="C250" t="str">
        <f t="shared" si="3"/>
        <v>PAN_Gujarat First</v>
      </c>
      <c r="D250" s="5" t="s">
        <v>522</v>
      </c>
      <c r="E250" s="5" t="s">
        <v>522</v>
      </c>
      <c r="F250" t="b">
        <v>1</v>
      </c>
      <c r="G250" s="5" t="s">
        <v>522</v>
      </c>
      <c r="H250" t="s">
        <v>523</v>
      </c>
      <c r="I250" t="b">
        <v>1</v>
      </c>
    </row>
    <row r="251" spans="1:9">
      <c r="A251" s="1" t="s">
        <v>420</v>
      </c>
      <c r="B251" t="s">
        <v>523</v>
      </c>
      <c r="C251" t="str">
        <f t="shared" si="3"/>
        <v>PAN_Chetan Control System</v>
      </c>
      <c r="D251" s="5" t="s">
        <v>522</v>
      </c>
      <c r="E251" s="5" t="s">
        <v>522</v>
      </c>
      <c r="F251" t="b">
        <v>1</v>
      </c>
      <c r="G251" s="5" t="s">
        <v>522</v>
      </c>
      <c r="H251" t="s">
        <v>523</v>
      </c>
      <c r="I251" t="b">
        <v>1</v>
      </c>
    </row>
    <row r="252" spans="1:9">
      <c r="A252" s="1" t="s">
        <v>1</v>
      </c>
      <c r="B252" t="s">
        <v>523</v>
      </c>
      <c r="C252" t="str">
        <f t="shared" si="3"/>
        <v>PAN_Mitul Tradelink Pvt Ltd</v>
      </c>
      <c r="D252" s="5" t="s">
        <v>522</v>
      </c>
      <c r="E252" s="5" t="s">
        <v>522</v>
      </c>
      <c r="F252" t="b">
        <v>1</v>
      </c>
      <c r="G252" s="5" t="s">
        <v>522</v>
      </c>
      <c r="H252" t="s">
        <v>523</v>
      </c>
      <c r="I252" t="b">
        <v>1</v>
      </c>
    </row>
    <row r="253" spans="1:9">
      <c r="A253" s="1" t="s">
        <v>10</v>
      </c>
      <c r="B253" t="s">
        <v>523</v>
      </c>
      <c r="C253" t="str">
        <f t="shared" si="3"/>
        <v>PAN_Maheshbhai Nayak</v>
      </c>
      <c r="D253" s="5" t="s">
        <v>522</v>
      </c>
      <c r="E253" s="5" t="s">
        <v>522</v>
      </c>
      <c r="F253" t="b">
        <v>1</v>
      </c>
      <c r="G253" s="5" t="s">
        <v>522</v>
      </c>
      <c r="H253" t="s">
        <v>523</v>
      </c>
      <c r="I253" t="b">
        <v>1</v>
      </c>
    </row>
    <row r="254" spans="1:9">
      <c r="A254" s="1" t="s">
        <v>321</v>
      </c>
      <c r="B254" t="s">
        <v>523</v>
      </c>
      <c r="C254" t="str">
        <f t="shared" si="3"/>
        <v>PAN_MellAdmin Consultancy Pvt Ltd</v>
      </c>
      <c r="D254" s="5" t="s">
        <v>522</v>
      </c>
      <c r="E254" s="5" t="s">
        <v>522</v>
      </c>
      <c r="F254" t="b">
        <v>1</v>
      </c>
      <c r="G254" s="5" t="s">
        <v>522</v>
      </c>
      <c r="H254" t="s">
        <v>523</v>
      </c>
      <c r="I254" t="b">
        <v>1</v>
      </c>
    </row>
    <row r="255" spans="1:9">
      <c r="A255" s="1" t="s">
        <v>285</v>
      </c>
      <c r="B255" t="s">
        <v>523</v>
      </c>
      <c r="C255" t="str">
        <f t="shared" si="3"/>
        <v>PAN_M_s. Shiv Corporation</v>
      </c>
      <c r="D255" s="5" t="s">
        <v>522</v>
      </c>
      <c r="E255" s="5" t="s">
        <v>522</v>
      </c>
      <c r="F255" t="b">
        <v>1</v>
      </c>
      <c r="G255" s="5" t="s">
        <v>522</v>
      </c>
      <c r="H255" t="s">
        <v>523</v>
      </c>
      <c r="I255" t="b">
        <v>1</v>
      </c>
    </row>
    <row r="256" spans="1:9">
      <c r="A256" s="1" t="s">
        <v>350</v>
      </c>
      <c r="B256" t="s">
        <v>523</v>
      </c>
      <c r="C256" t="str">
        <f t="shared" si="3"/>
        <v>PAN_Jayanti N Katariya</v>
      </c>
      <c r="D256" s="5" t="s">
        <v>522</v>
      </c>
      <c r="E256" s="5" t="s">
        <v>522</v>
      </c>
      <c r="F256" t="b">
        <v>1</v>
      </c>
      <c r="G256" s="5" t="s">
        <v>522</v>
      </c>
      <c r="H256" t="s">
        <v>523</v>
      </c>
      <c r="I256" t="b">
        <v>1</v>
      </c>
    </row>
    <row r="257" spans="1:9">
      <c r="A257" s="1" t="s">
        <v>14</v>
      </c>
      <c r="B257" t="s">
        <v>523</v>
      </c>
      <c r="C257" t="str">
        <f t="shared" si="3"/>
        <v>PAN_Sureshbhai R Patel</v>
      </c>
      <c r="D257" s="5" t="s">
        <v>522</v>
      </c>
      <c r="E257" s="5" t="s">
        <v>522</v>
      </c>
      <c r="F257" t="b">
        <v>1</v>
      </c>
      <c r="G257" s="5" t="s">
        <v>522</v>
      </c>
      <c r="H257" t="s">
        <v>523</v>
      </c>
      <c r="I257" t="b">
        <v>1</v>
      </c>
    </row>
    <row r="258" spans="1:9">
      <c r="A258" s="1" t="s">
        <v>240</v>
      </c>
      <c r="B258" t="s">
        <v>523</v>
      </c>
      <c r="C258" t="str">
        <f t="shared" ref="C258:C321" si="4">B258&amp;"_"&amp;A258</f>
        <v>PAN_Devang J Joshi</v>
      </c>
      <c r="D258" s="5" t="s">
        <v>522</v>
      </c>
      <c r="E258" s="5" t="s">
        <v>522</v>
      </c>
      <c r="F258" t="b">
        <v>1</v>
      </c>
      <c r="G258" s="5" t="s">
        <v>522</v>
      </c>
      <c r="H258" t="s">
        <v>523</v>
      </c>
      <c r="I258" t="b">
        <v>1</v>
      </c>
    </row>
    <row r="259" spans="1:9">
      <c r="A259" s="1" t="s">
        <v>325</v>
      </c>
      <c r="B259" t="s">
        <v>523</v>
      </c>
      <c r="C259" t="str">
        <f t="shared" si="4"/>
        <v>PAN_MH Xorbian Tech Pvt Ltd</v>
      </c>
      <c r="D259" s="5" t="s">
        <v>522</v>
      </c>
      <c r="E259" s="5" t="s">
        <v>522</v>
      </c>
      <c r="F259" t="b">
        <v>1</v>
      </c>
      <c r="G259" s="5" t="s">
        <v>522</v>
      </c>
      <c r="H259" t="s">
        <v>523</v>
      </c>
      <c r="I259" t="b">
        <v>1</v>
      </c>
    </row>
    <row r="260" spans="1:9">
      <c r="A260" s="1" t="s">
        <v>263</v>
      </c>
      <c r="B260" t="s">
        <v>523</v>
      </c>
      <c r="C260" t="str">
        <f t="shared" si="4"/>
        <v>PAN_Meenu Chandramohan Kumar</v>
      </c>
      <c r="D260" s="5" t="s">
        <v>522</v>
      </c>
      <c r="E260" s="5" t="s">
        <v>522</v>
      </c>
      <c r="F260" t="b">
        <v>1</v>
      </c>
      <c r="G260" s="5" t="s">
        <v>522</v>
      </c>
      <c r="H260" t="s">
        <v>523</v>
      </c>
      <c r="I260" t="b">
        <v>1</v>
      </c>
    </row>
    <row r="261" spans="1:9">
      <c r="A261" s="1" t="s">
        <v>317</v>
      </c>
      <c r="B261" t="s">
        <v>523</v>
      </c>
      <c r="C261" t="str">
        <f t="shared" si="4"/>
        <v>PAN_Yogendra M Thakore</v>
      </c>
      <c r="D261" s="5" t="s">
        <v>522</v>
      </c>
      <c r="E261" s="5" t="s">
        <v>522</v>
      </c>
      <c r="F261" t="b">
        <v>1</v>
      </c>
      <c r="G261" s="5" t="s">
        <v>522</v>
      </c>
      <c r="H261" t="s">
        <v>523</v>
      </c>
      <c r="I261" t="b">
        <v>1</v>
      </c>
    </row>
    <row r="262" spans="1:9">
      <c r="A262" s="1" t="s">
        <v>438</v>
      </c>
      <c r="B262" t="s">
        <v>523</v>
      </c>
      <c r="C262" t="str">
        <f t="shared" si="4"/>
        <v>PAN_Anuj Ashokkumar Modi</v>
      </c>
      <c r="D262" s="5" t="s">
        <v>522</v>
      </c>
      <c r="E262" s="5" t="s">
        <v>522</v>
      </c>
      <c r="F262" t="b">
        <v>1</v>
      </c>
      <c r="G262" s="5" t="s">
        <v>522</v>
      </c>
      <c r="H262" t="s">
        <v>523</v>
      </c>
      <c r="I262" t="b">
        <v>1</v>
      </c>
    </row>
    <row r="263" spans="1:9">
      <c r="A263" s="1" t="s">
        <v>393</v>
      </c>
      <c r="B263" t="s">
        <v>523</v>
      </c>
      <c r="C263" t="str">
        <f t="shared" si="4"/>
        <v>PAN_Jaykumar Rajnikant Sitapara</v>
      </c>
      <c r="D263" s="5" t="s">
        <v>522</v>
      </c>
      <c r="E263" s="5" t="s">
        <v>522</v>
      </c>
      <c r="F263" t="b">
        <v>1</v>
      </c>
      <c r="G263" s="5" t="s">
        <v>522</v>
      </c>
      <c r="H263" t="s">
        <v>523</v>
      </c>
      <c r="I263" t="b">
        <v>1</v>
      </c>
    </row>
    <row r="264" spans="1:9">
      <c r="A264" s="1" t="s">
        <v>335</v>
      </c>
      <c r="B264" t="s">
        <v>523</v>
      </c>
      <c r="C264" t="str">
        <f t="shared" si="4"/>
        <v>PAN_Multidots Solutions Pvt Ltd</v>
      </c>
      <c r="D264" s="5" t="s">
        <v>522</v>
      </c>
      <c r="E264" s="5" t="s">
        <v>522</v>
      </c>
      <c r="F264" t="b">
        <v>1</v>
      </c>
      <c r="G264" s="5" t="s">
        <v>522</v>
      </c>
      <c r="H264" t="s">
        <v>523</v>
      </c>
      <c r="I264" t="b">
        <v>1</v>
      </c>
    </row>
    <row r="265" spans="1:9">
      <c r="A265" s="1" t="s">
        <v>115</v>
      </c>
      <c r="B265" t="s">
        <v>523</v>
      </c>
      <c r="C265" t="str">
        <f t="shared" si="4"/>
        <v>PAN_J.K. Plastopack P. Ltd</v>
      </c>
      <c r="D265" s="5" t="s">
        <v>522</v>
      </c>
      <c r="E265" s="5" t="s">
        <v>522</v>
      </c>
      <c r="F265" t="b">
        <v>1</v>
      </c>
      <c r="G265" s="5" t="s">
        <v>522</v>
      </c>
      <c r="H265" t="s">
        <v>523</v>
      </c>
      <c r="I265" t="b">
        <v>1</v>
      </c>
    </row>
    <row r="266" spans="1:9">
      <c r="A266" s="1" t="s">
        <v>22</v>
      </c>
      <c r="B266" t="s">
        <v>523</v>
      </c>
      <c r="C266" t="str">
        <f t="shared" si="4"/>
        <v>PAN_S.A. Sumara</v>
      </c>
      <c r="D266" s="5" t="s">
        <v>522</v>
      </c>
      <c r="E266" s="5" t="s">
        <v>522</v>
      </c>
      <c r="F266" t="b">
        <v>1</v>
      </c>
      <c r="G266" s="5" t="s">
        <v>522</v>
      </c>
      <c r="H266" t="s">
        <v>523</v>
      </c>
      <c r="I266" t="b">
        <v>1</v>
      </c>
    </row>
    <row r="267" spans="1:9">
      <c r="A267" s="1" t="s">
        <v>389</v>
      </c>
      <c r="B267" t="s">
        <v>523</v>
      </c>
      <c r="C267" t="str">
        <f t="shared" si="4"/>
        <v>PAN_Jagdish S Dholu</v>
      </c>
      <c r="D267" s="5" t="s">
        <v>522</v>
      </c>
      <c r="E267" s="5" t="s">
        <v>522</v>
      </c>
      <c r="F267" t="b">
        <v>1</v>
      </c>
      <c r="G267" s="5" t="s">
        <v>522</v>
      </c>
      <c r="H267" t="s">
        <v>523</v>
      </c>
      <c r="I267" t="b">
        <v>1</v>
      </c>
    </row>
    <row r="268" spans="1:9">
      <c r="A268" s="1" t="s">
        <v>213</v>
      </c>
      <c r="B268" t="s">
        <v>523</v>
      </c>
      <c r="C268" t="str">
        <f t="shared" si="4"/>
        <v>PAN_Keshavlal Sohanlal Jain</v>
      </c>
      <c r="D268" s="5" t="s">
        <v>522</v>
      </c>
      <c r="E268" s="5" t="s">
        <v>522</v>
      </c>
      <c r="F268" t="b">
        <v>1</v>
      </c>
      <c r="G268" s="5" t="s">
        <v>522</v>
      </c>
      <c r="H268" t="s">
        <v>523</v>
      </c>
      <c r="I268" t="b">
        <v>1</v>
      </c>
    </row>
    <row r="269" spans="1:9">
      <c r="A269" s="1" t="s">
        <v>123</v>
      </c>
      <c r="B269" t="s">
        <v>523</v>
      </c>
      <c r="C269" t="str">
        <f t="shared" si="4"/>
        <v>PAN_Mehsana Dist Co Op Milk Pro</v>
      </c>
      <c r="D269" s="5" t="s">
        <v>522</v>
      </c>
      <c r="E269" s="5" t="s">
        <v>522</v>
      </c>
      <c r="F269" t="b">
        <v>1</v>
      </c>
      <c r="G269" s="5" t="s">
        <v>522</v>
      </c>
      <c r="H269" t="s">
        <v>523</v>
      </c>
      <c r="I269" t="b">
        <v>1</v>
      </c>
    </row>
    <row r="270" spans="1:9">
      <c r="A270" s="1" t="s">
        <v>146</v>
      </c>
      <c r="B270" t="s">
        <v>523</v>
      </c>
      <c r="C270" t="str">
        <f t="shared" si="4"/>
        <v>PAN_The Grid</v>
      </c>
      <c r="D270" s="5" t="s">
        <v>522</v>
      </c>
      <c r="E270" s="5" t="s">
        <v>522</v>
      </c>
      <c r="F270" t="b">
        <v>1</v>
      </c>
      <c r="G270" s="5" t="s">
        <v>522</v>
      </c>
      <c r="H270" t="s">
        <v>523</v>
      </c>
      <c r="I270" t="b">
        <v>1</v>
      </c>
    </row>
    <row r="271" spans="1:9">
      <c r="A271" s="1" t="s">
        <v>131</v>
      </c>
      <c r="B271" t="s">
        <v>523</v>
      </c>
      <c r="C271" t="str">
        <f t="shared" si="4"/>
        <v xml:space="preserve">PAN_Dipak Chandulal Bhavsar </v>
      </c>
      <c r="D271" s="5" t="s">
        <v>522</v>
      </c>
      <c r="E271" s="5" t="s">
        <v>522</v>
      </c>
      <c r="F271" t="b">
        <v>1</v>
      </c>
      <c r="G271" s="5" t="s">
        <v>522</v>
      </c>
      <c r="H271" t="s">
        <v>523</v>
      </c>
      <c r="I271" t="b">
        <v>1</v>
      </c>
    </row>
    <row r="272" spans="1:9">
      <c r="A272" s="1" t="s">
        <v>235</v>
      </c>
      <c r="B272" t="s">
        <v>523</v>
      </c>
      <c r="C272" t="str">
        <f t="shared" si="4"/>
        <v>PAN_Ramdev Resins Pvt Ltd</v>
      </c>
      <c r="D272" s="5" t="s">
        <v>522</v>
      </c>
      <c r="E272" s="5" t="s">
        <v>522</v>
      </c>
      <c r="F272" t="b">
        <v>1</v>
      </c>
      <c r="G272" s="5" t="s">
        <v>522</v>
      </c>
      <c r="H272" t="s">
        <v>523</v>
      </c>
      <c r="I272" t="b">
        <v>1</v>
      </c>
    </row>
    <row r="273" spans="1:9">
      <c r="A273" s="1" t="s">
        <v>412</v>
      </c>
      <c r="B273" t="s">
        <v>523</v>
      </c>
      <c r="C273" t="str">
        <f t="shared" si="4"/>
        <v>PAN_Kumaresh K Trivedi</v>
      </c>
      <c r="D273" s="5" t="s">
        <v>522</v>
      </c>
      <c r="E273" s="5" t="s">
        <v>522</v>
      </c>
      <c r="F273" t="b">
        <v>1</v>
      </c>
      <c r="G273" s="5" t="s">
        <v>522</v>
      </c>
      <c r="H273" t="s">
        <v>523</v>
      </c>
      <c r="I273" t="b">
        <v>1</v>
      </c>
    </row>
    <row r="274" spans="1:9">
      <c r="A274" s="1" t="s">
        <v>387</v>
      </c>
      <c r="B274" t="s">
        <v>523</v>
      </c>
      <c r="C274" t="str">
        <f t="shared" si="4"/>
        <v>PAN_Meenaben Ganpatbhai Patel</v>
      </c>
      <c r="D274" s="5" t="s">
        <v>522</v>
      </c>
      <c r="E274" s="5" t="s">
        <v>522</v>
      </c>
      <c r="F274" t="b">
        <v>1</v>
      </c>
      <c r="G274" s="5" t="s">
        <v>522</v>
      </c>
      <c r="H274" t="s">
        <v>523</v>
      </c>
      <c r="I274" t="b">
        <v>1</v>
      </c>
    </row>
    <row r="275" spans="1:9">
      <c r="A275" s="1" t="s">
        <v>144</v>
      </c>
      <c r="B275" t="s">
        <v>523</v>
      </c>
      <c r="C275" t="str">
        <f t="shared" si="4"/>
        <v xml:space="preserve">PAN_Purvi Ashish Shah </v>
      </c>
      <c r="D275" s="5" t="s">
        <v>522</v>
      </c>
      <c r="E275" s="5" t="s">
        <v>522</v>
      </c>
      <c r="F275" t="b">
        <v>1</v>
      </c>
      <c r="G275" s="5" t="s">
        <v>522</v>
      </c>
      <c r="H275" t="s">
        <v>523</v>
      </c>
      <c r="I275" t="b">
        <v>1</v>
      </c>
    </row>
    <row r="276" spans="1:9">
      <c r="A276" s="1" t="s">
        <v>154</v>
      </c>
      <c r="B276" t="s">
        <v>523</v>
      </c>
      <c r="C276" t="str">
        <f t="shared" si="4"/>
        <v>PAN_Jyotiba Bhavansinh Parmar</v>
      </c>
      <c r="D276" s="5" t="s">
        <v>522</v>
      </c>
      <c r="E276" s="5" t="s">
        <v>522</v>
      </c>
      <c r="F276" t="b">
        <v>1</v>
      </c>
      <c r="G276" s="5" t="s">
        <v>522</v>
      </c>
      <c r="H276" t="s">
        <v>523</v>
      </c>
      <c r="I276" t="b">
        <v>1</v>
      </c>
    </row>
    <row r="277" spans="1:9">
      <c r="A277" s="1" t="s">
        <v>3</v>
      </c>
      <c r="B277" t="s">
        <v>523</v>
      </c>
      <c r="C277" t="str">
        <f t="shared" si="4"/>
        <v>PAN_MAP Refoils India Ltd</v>
      </c>
      <c r="D277" s="5" t="s">
        <v>522</v>
      </c>
      <c r="E277" s="5" t="s">
        <v>522</v>
      </c>
      <c r="F277" t="b">
        <v>1</v>
      </c>
      <c r="G277" s="5" t="s">
        <v>522</v>
      </c>
      <c r="H277" t="s">
        <v>523</v>
      </c>
      <c r="I277" t="b">
        <v>1</v>
      </c>
    </row>
    <row r="278" spans="1:9">
      <c r="A278" s="1" t="s">
        <v>408</v>
      </c>
      <c r="B278" t="s">
        <v>523</v>
      </c>
      <c r="C278" t="str">
        <f t="shared" si="4"/>
        <v>PAN_Ranjanben M. Parmar</v>
      </c>
      <c r="D278" s="5" t="s">
        <v>522</v>
      </c>
      <c r="E278" s="5" t="s">
        <v>522</v>
      </c>
      <c r="F278" t="b">
        <v>1</v>
      </c>
      <c r="G278" s="5" t="s">
        <v>522</v>
      </c>
      <c r="H278" t="s">
        <v>523</v>
      </c>
      <c r="I278" t="b">
        <v>1</v>
      </c>
    </row>
    <row r="279" spans="1:9">
      <c r="A279" s="1" t="s">
        <v>129</v>
      </c>
      <c r="B279" t="s">
        <v>523</v>
      </c>
      <c r="C279" t="str">
        <f t="shared" si="4"/>
        <v>PAN_Nirmalaben Balkrushna Thakkar</v>
      </c>
      <c r="D279" s="5" t="s">
        <v>522</v>
      </c>
      <c r="E279" s="5" t="s">
        <v>522</v>
      </c>
      <c r="F279" t="b">
        <v>1</v>
      </c>
      <c r="G279" s="5" t="s">
        <v>522</v>
      </c>
      <c r="H279" t="s">
        <v>523</v>
      </c>
      <c r="I279" t="b">
        <v>1</v>
      </c>
    </row>
    <row r="280" spans="1:9">
      <c r="A280" s="1" t="s">
        <v>452</v>
      </c>
      <c r="B280" t="s">
        <v>523</v>
      </c>
      <c r="C280" t="str">
        <f t="shared" si="4"/>
        <v>PAN_Patel Vipul Parshottambhai</v>
      </c>
      <c r="D280" s="5" t="s">
        <v>522</v>
      </c>
      <c r="E280" s="5" t="s">
        <v>522</v>
      </c>
      <c r="F280" t="b">
        <v>1</v>
      </c>
      <c r="G280" s="5" t="s">
        <v>522</v>
      </c>
      <c r="H280" t="s">
        <v>523</v>
      </c>
      <c r="I280" t="b">
        <v>1</v>
      </c>
    </row>
    <row r="281" spans="1:9">
      <c r="A281" s="1" t="s">
        <v>303</v>
      </c>
      <c r="B281" t="s">
        <v>523</v>
      </c>
      <c r="C281" t="str">
        <f t="shared" si="4"/>
        <v xml:space="preserve">PAN_Hiren M Patel </v>
      </c>
      <c r="D281" s="5" t="s">
        <v>522</v>
      </c>
      <c r="E281" s="5" t="s">
        <v>522</v>
      </c>
      <c r="F281" t="b">
        <v>1</v>
      </c>
      <c r="G281" s="5" t="s">
        <v>522</v>
      </c>
      <c r="H281" t="s">
        <v>523</v>
      </c>
      <c r="I281" t="b">
        <v>1</v>
      </c>
    </row>
    <row r="282" spans="1:9">
      <c r="A282" s="1" t="s">
        <v>313</v>
      </c>
      <c r="B282" t="s">
        <v>523</v>
      </c>
      <c r="C282" t="str">
        <f t="shared" si="4"/>
        <v>PAN_Vinodbhai</v>
      </c>
      <c r="D282" s="5" t="s">
        <v>522</v>
      </c>
      <c r="E282" s="5" t="s">
        <v>522</v>
      </c>
      <c r="F282" t="b">
        <v>1</v>
      </c>
      <c r="G282" s="5" t="s">
        <v>522</v>
      </c>
      <c r="H282" t="s">
        <v>523</v>
      </c>
      <c r="I282" t="b">
        <v>1</v>
      </c>
    </row>
    <row r="283" spans="1:9">
      <c r="A283" s="1" t="s">
        <v>205</v>
      </c>
      <c r="B283" t="s">
        <v>523</v>
      </c>
      <c r="C283" t="str">
        <f t="shared" si="4"/>
        <v>PAN_Arovea Technologies</v>
      </c>
      <c r="D283" s="5" t="s">
        <v>522</v>
      </c>
      <c r="E283" s="5" t="s">
        <v>522</v>
      </c>
      <c r="F283" t="b">
        <v>1</v>
      </c>
      <c r="G283" s="5" t="s">
        <v>522</v>
      </c>
      <c r="H283" t="s">
        <v>523</v>
      </c>
      <c r="I283" t="b">
        <v>1</v>
      </c>
    </row>
    <row r="284" spans="1:9">
      <c r="A284" s="1" t="s">
        <v>391</v>
      </c>
      <c r="B284" t="s">
        <v>523</v>
      </c>
      <c r="C284" t="str">
        <f t="shared" si="4"/>
        <v>PAN_Manjulaben Thakkar</v>
      </c>
      <c r="D284" s="5" t="s">
        <v>522</v>
      </c>
      <c r="E284" s="5" t="s">
        <v>522</v>
      </c>
      <c r="F284" t="b">
        <v>1</v>
      </c>
      <c r="G284" s="5" t="s">
        <v>522</v>
      </c>
      <c r="H284" t="s">
        <v>523</v>
      </c>
      <c r="I284" t="b">
        <v>1</v>
      </c>
    </row>
    <row r="285" spans="1:9">
      <c r="A285" s="1" t="s">
        <v>160</v>
      </c>
      <c r="B285" t="s">
        <v>523</v>
      </c>
      <c r="C285" t="str">
        <f t="shared" si="4"/>
        <v>PAN_Shivraj Trade Mark Pvt Ltd</v>
      </c>
      <c r="D285" s="5" t="s">
        <v>522</v>
      </c>
      <c r="E285" s="5" t="s">
        <v>522</v>
      </c>
      <c r="F285" t="b">
        <v>1</v>
      </c>
      <c r="G285" s="5" t="s">
        <v>522</v>
      </c>
      <c r="H285" t="s">
        <v>523</v>
      </c>
      <c r="I285" t="b">
        <v>1</v>
      </c>
    </row>
    <row r="286" spans="1:9">
      <c r="A286" s="1" t="s">
        <v>416</v>
      </c>
      <c r="B286" t="s">
        <v>523</v>
      </c>
      <c r="C286" t="str">
        <f t="shared" si="4"/>
        <v>PAN_Satvam Nutrifoods</v>
      </c>
      <c r="D286" s="5" t="s">
        <v>522</v>
      </c>
      <c r="E286" s="5" t="s">
        <v>522</v>
      </c>
      <c r="F286" t="b">
        <v>1</v>
      </c>
      <c r="G286" s="5" t="s">
        <v>522</v>
      </c>
      <c r="H286" t="s">
        <v>523</v>
      </c>
      <c r="I286" t="b">
        <v>1</v>
      </c>
    </row>
    <row r="287" spans="1:9">
      <c r="A287" s="1" t="s">
        <v>352</v>
      </c>
      <c r="B287" t="s">
        <v>523</v>
      </c>
      <c r="C287" t="str">
        <f t="shared" si="4"/>
        <v>PAN_Dinesh Manoharlal Bhojwani</v>
      </c>
      <c r="D287" s="5" t="s">
        <v>522</v>
      </c>
      <c r="E287" s="5" t="s">
        <v>522</v>
      </c>
      <c r="F287" t="b">
        <v>1</v>
      </c>
      <c r="G287" s="5" t="s">
        <v>522</v>
      </c>
      <c r="H287" t="s">
        <v>523</v>
      </c>
      <c r="I287" t="b">
        <v>1</v>
      </c>
    </row>
    <row r="288" spans="1:9">
      <c r="A288" s="1" t="s">
        <v>348</v>
      </c>
      <c r="B288" t="s">
        <v>523</v>
      </c>
      <c r="C288" t="str">
        <f t="shared" si="4"/>
        <v xml:space="preserve">PAN_Vikram M Merani </v>
      </c>
      <c r="D288" s="5" t="s">
        <v>522</v>
      </c>
      <c r="E288" s="5" t="s">
        <v>522</v>
      </c>
      <c r="F288" t="b">
        <v>1</v>
      </c>
      <c r="G288" s="5" t="s">
        <v>522</v>
      </c>
      <c r="H288" t="s">
        <v>523</v>
      </c>
      <c r="I288" t="b">
        <v>1</v>
      </c>
    </row>
    <row r="289" spans="1:9">
      <c r="A289" s="1" t="s">
        <v>191</v>
      </c>
      <c r="B289" t="s">
        <v>523</v>
      </c>
      <c r="C289" t="str">
        <f t="shared" si="4"/>
        <v>PAN_Dilipbhai Patel</v>
      </c>
      <c r="D289" s="5" t="s">
        <v>522</v>
      </c>
      <c r="E289" s="5" t="s">
        <v>522</v>
      </c>
      <c r="F289" t="b">
        <v>1</v>
      </c>
      <c r="G289" s="5" t="s">
        <v>522</v>
      </c>
      <c r="H289" t="s">
        <v>523</v>
      </c>
      <c r="I289" t="b">
        <v>1</v>
      </c>
    </row>
    <row r="290" spans="1:9">
      <c r="A290" s="1" t="s">
        <v>238</v>
      </c>
      <c r="B290" t="s">
        <v>523</v>
      </c>
      <c r="C290" t="str">
        <f t="shared" si="4"/>
        <v xml:space="preserve">PAN_Darshan R Patel </v>
      </c>
      <c r="D290" s="5" t="s">
        <v>522</v>
      </c>
      <c r="E290" s="5" t="s">
        <v>522</v>
      </c>
      <c r="F290" t="b">
        <v>1</v>
      </c>
      <c r="G290" s="5" t="s">
        <v>522</v>
      </c>
      <c r="H290" t="s">
        <v>523</v>
      </c>
      <c r="I290" t="b">
        <v>1</v>
      </c>
    </row>
    <row r="291" spans="1:9">
      <c r="A291" s="1" t="s">
        <v>177</v>
      </c>
      <c r="B291" t="s">
        <v>523</v>
      </c>
      <c r="C291" t="str">
        <f t="shared" si="4"/>
        <v>PAN_Hansaben Amrutbhai Patel</v>
      </c>
      <c r="D291" s="5" t="s">
        <v>522</v>
      </c>
      <c r="E291" s="5" t="s">
        <v>522</v>
      </c>
      <c r="F291" t="b">
        <v>1</v>
      </c>
      <c r="G291" s="5" t="s">
        <v>522</v>
      </c>
      <c r="H291" t="s">
        <v>523</v>
      </c>
      <c r="I291" t="b">
        <v>1</v>
      </c>
    </row>
    <row r="292" spans="1:9">
      <c r="A292" s="1" t="s">
        <v>175</v>
      </c>
      <c r="B292" t="s">
        <v>523</v>
      </c>
      <c r="C292" t="str">
        <f t="shared" si="4"/>
        <v>PAN_Nirav Vishnubhai Patel</v>
      </c>
      <c r="D292" s="5" t="s">
        <v>522</v>
      </c>
      <c r="E292" s="5" t="s">
        <v>522</v>
      </c>
      <c r="F292" t="b">
        <v>1</v>
      </c>
      <c r="G292" s="5" t="s">
        <v>522</v>
      </c>
      <c r="H292" t="s">
        <v>523</v>
      </c>
      <c r="I292" t="b">
        <v>1</v>
      </c>
    </row>
    <row r="293" spans="1:9">
      <c r="A293" s="1" t="s">
        <v>117</v>
      </c>
      <c r="B293" t="s">
        <v>523</v>
      </c>
      <c r="C293" t="str">
        <f t="shared" si="4"/>
        <v>PAN_Kamlaben Patel</v>
      </c>
      <c r="D293" s="5" t="s">
        <v>522</v>
      </c>
      <c r="E293" s="5" t="s">
        <v>522</v>
      </c>
      <c r="F293" t="b">
        <v>1</v>
      </c>
      <c r="G293" s="5" t="s">
        <v>522</v>
      </c>
      <c r="H293" t="s">
        <v>523</v>
      </c>
      <c r="I293" t="b">
        <v>1</v>
      </c>
    </row>
    <row r="294" spans="1:9">
      <c r="A294" s="1" t="s">
        <v>203</v>
      </c>
      <c r="B294" t="s">
        <v>523</v>
      </c>
      <c r="C294" t="str">
        <f t="shared" si="4"/>
        <v xml:space="preserve">PAN_Vinod Chamanlal Vaishnavi </v>
      </c>
      <c r="D294" s="5" t="s">
        <v>522</v>
      </c>
      <c r="E294" s="5" t="s">
        <v>522</v>
      </c>
      <c r="F294" t="b">
        <v>1</v>
      </c>
      <c r="G294" s="5" t="s">
        <v>522</v>
      </c>
      <c r="H294" t="s">
        <v>523</v>
      </c>
      <c r="I294" t="b">
        <v>1</v>
      </c>
    </row>
    <row r="295" spans="1:9">
      <c r="A295" s="1" t="s">
        <v>150</v>
      </c>
      <c r="B295" t="s">
        <v>523</v>
      </c>
      <c r="C295" t="str">
        <f t="shared" si="4"/>
        <v>PAN_Nirav M Patel</v>
      </c>
      <c r="D295" s="5" t="s">
        <v>522</v>
      </c>
      <c r="E295" s="5" t="s">
        <v>522</v>
      </c>
      <c r="F295" t="b">
        <v>1</v>
      </c>
      <c r="G295" s="5" t="s">
        <v>522</v>
      </c>
      <c r="H295" t="s">
        <v>523</v>
      </c>
      <c r="I295" t="b">
        <v>1</v>
      </c>
    </row>
    <row r="296" spans="1:9">
      <c r="A296" s="1" t="s">
        <v>8</v>
      </c>
      <c r="B296" t="s">
        <v>523</v>
      </c>
      <c r="C296" t="str">
        <f t="shared" si="4"/>
        <v>PAN_JSIW Infrastructure P. Ltd</v>
      </c>
      <c r="D296" s="5" t="s">
        <v>522</v>
      </c>
      <c r="E296" s="5" t="s">
        <v>522</v>
      </c>
      <c r="F296" t="b">
        <v>1</v>
      </c>
      <c r="G296" s="5" t="s">
        <v>522</v>
      </c>
      <c r="H296" t="s">
        <v>523</v>
      </c>
      <c r="I296" t="b">
        <v>1</v>
      </c>
    </row>
    <row r="297" spans="1:9">
      <c r="A297" s="1" t="s">
        <v>333</v>
      </c>
      <c r="B297" t="s">
        <v>523</v>
      </c>
      <c r="C297" t="str">
        <f t="shared" si="4"/>
        <v>PAN_A-J Tarunkumar Virchand Shah Huf</v>
      </c>
      <c r="D297" s="5" t="s">
        <v>522</v>
      </c>
      <c r="E297" s="5" t="s">
        <v>522</v>
      </c>
      <c r="F297" t="b">
        <v>1</v>
      </c>
      <c r="G297" s="5" t="s">
        <v>522</v>
      </c>
      <c r="H297" t="s">
        <v>523</v>
      </c>
      <c r="I297" t="b">
        <v>1</v>
      </c>
    </row>
    <row r="298" spans="1:9">
      <c r="A298" s="1" t="s">
        <v>133</v>
      </c>
      <c r="B298" t="s">
        <v>523</v>
      </c>
      <c r="C298" t="str">
        <f t="shared" si="4"/>
        <v xml:space="preserve">PAN_Mr. Alpeshbhai Babubhai Patel </v>
      </c>
      <c r="D298" s="5" t="s">
        <v>522</v>
      </c>
      <c r="E298" s="5" t="s">
        <v>522</v>
      </c>
      <c r="F298" t="b">
        <v>1</v>
      </c>
      <c r="G298" s="5" t="s">
        <v>522</v>
      </c>
      <c r="H298" t="s">
        <v>523</v>
      </c>
      <c r="I298" t="b">
        <v>1</v>
      </c>
    </row>
    <row r="299" spans="1:9">
      <c r="A299" s="1" t="s">
        <v>221</v>
      </c>
      <c r="B299" t="s">
        <v>523</v>
      </c>
      <c r="C299" t="str">
        <f t="shared" si="4"/>
        <v>PAN_Nisarg Jashwantbhai Patel</v>
      </c>
      <c r="D299" s="5" t="s">
        <v>522</v>
      </c>
      <c r="E299" s="5" t="s">
        <v>522</v>
      </c>
      <c r="F299" t="b">
        <v>1</v>
      </c>
      <c r="G299" s="5" t="s">
        <v>522</v>
      </c>
      <c r="H299" t="s">
        <v>523</v>
      </c>
      <c r="I299" t="b">
        <v>1</v>
      </c>
    </row>
    <row r="300" spans="1:9">
      <c r="A300" s="1" t="s">
        <v>40</v>
      </c>
      <c r="B300" t="s">
        <v>523</v>
      </c>
      <c r="C300" t="str">
        <f t="shared" si="4"/>
        <v>PAN_Manishaben Shah</v>
      </c>
      <c r="D300" s="5" t="s">
        <v>522</v>
      </c>
      <c r="E300" s="5" t="s">
        <v>522</v>
      </c>
      <c r="F300" t="b">
        <v>1</v>
      </c>
      <c r="G300" s="5" t="s">
        <v>522</v>
      </c>
      <c r="H300" t="s">
        <v>523</v>
      </c>
      <c r="I300" t="b">
        <v>1</v>
      </c>
    </row>
    <row r="301" spans="1:9">
      <c r="A301" s="1" t="s">
        <v>199</v>
      </c>
      <c r="B301" t="s">
        <v>523</v>
      </c>
      <c r="C301" t="str">
        <f t="shared" si="4"/>
        <v>PAN_Maheshsingh Kushwah</v>
      </c>
      <c r="D301" s="5" t="s">
        <v>522</v>
      </c>
      <c r="E301" s="5" t="s">
        <v>522</v>
      </c>
      <c r="F301" t="b">
        <v>1</v>
      </c>
      <c r="G301" s="5" t="s">
        <v>522</v>
      </c>
      <c r="H301" t="s">
        <v>523</v>
      </c>
      <c r="I301" t="b">
        <v>1</v>
      </c>
    </row>
    <row r="302" spans="1:9">
      <c r="A302" s="1" t="s">
        <v>225</v>
      </c>
      <c r="B302" t="s">
        <v>523</v>
      </c>
      <c r="C302" t="str">
        <f t="shared" si="4"/>
        <v>PAN_Jayesh Jayantibhai Patel</v>
      </c>
      <c r="D302" s="5" t="s">
        <v>522</v>
      </c>
      <c r="E302" s="5" t="s">
        <v>522</v>
      </c>
      <c r="F302" t="b">
        <v>1</v>
      </c>
      <c r="G302" s="5" t="s">
        <v>522</v>
      </c>
      <c r="H302" t="s">
        <v>523</v>
      </c>
      <c r="I302" t="b">
        <v>1</v>
      </c>
    </row>
    <row r="303" spans="1:9">
      <c r="A303" s="1" t="s">
        <v>374</v>
      </c>
      <c r="B303" t="s">
        <v>523</v>
      </c>
      <c r="C303" t="str">
        <f t="shared" si="4"/>
        <v>PAN_Pradipkumar Gupta</v>
      </c>
      <c r="D303" s="5" t="s">
        <v>522</v>
      </c>
      <c r="E303" s="5" t="s">
        <v>522</v>
      </c>
      <c r="F303" t="b">
        <v>1</v>
      </c>
      <c r="G303" s="5" t="s">
        <v>522</v>
      </c>
      <c r="H303" t="s">
        <v>523</v>
      </c>
      <c r="I303" t="b">
        <v>1</v>
      </c>
    </row>
    <row r="304" spans="1:9">
      <c r="A304" s="1" t="s">
        <v>398</v>
      </c>
      <c r="B304" t="s">
        <v>523</v>
      </c>
      <c r="C304" t="str">
        <f t="shared" si="4"/>
        <v>PAN_Ravi Prakash Nandubhai Patel</v>
      </c>
      <c r="D304" s="5" t="s">
        <v>522</v>
      </c>
      <c r="E304" s="5" t="s">
        <v>522</v>
      </c>
      <c r="F304" t="b">
        <v>1</v>
      </c>
      <c r="G304" s="5" t="s">
        <v>522</v>
      </c>
      <c r="H304" t="s">
        <v>523</v>
      </c>
      <c r="I304" t="b">
        <v>1</v>
      </c>
    </row>
    <row r="305" spans="1:9">
      <c r="A305" s="1" t="s">
        <v>215</v>
      </c>
      <c r="B305" t="s">
        <v>523</v>
      </c>
      <c r="C305" t="str">
        <f t="shared" si="4"/>
        <v>PAN_Diamond Infracom</v>
      </c>
      <c r="D305" s="5" t="s">
        <v>522</v>
      </c>
      <c r="E305" s="5" t="s">
        <v>522</v>
      </c>
      <c r="F305" t="b">
        <v>1</v>
      </c>
      <c r="G305" s="5" t="s">
        <v>522</v>
      </c>
      <c r="H305" t="s">
        <v>523</v>
      </c>
      <c r="I305" t="b">
        <v>1</v>
      </c>
    </row>
    <row r="306" spans="1:9">
      <c r="A306" s="1" t="s">
        <v>36</v>
      </c>
      <c r="B306" t="s">
        <v>523</v>
      </c>
      <c r="C306" t="str">
        <f t="shared" si="4"/>
        <v>PAN_Devashish Trivedi</v>
      </c>
      <c r="D306" s="5" t="s">
        <v>522</v>
      </c>
      <c r="E306" s="5" t="s">
        <v>522</v>
      </c>
      <c r="F306" t="b">
        <v>1</v>
      </c>
      <c r="G306" s="5" t="s">
        <v>522</v>
      </c>
      <c r="H306" t="s">
        <v>523</v>
      </c>
      <c r="I306" t="b">
        <v>1</v>
      </c>
    </row>
    <row r="307" spans="1:9">
      <c r="A307" s="1" t="s">
        <v>376</v>
      </c>
      <c r="B307" t="s">
        <v>523</v>
      </c>
      <c r="C307" t="str">
        <f t="shared" si="4"/>
        <v>PAN_Meenu Pradip Gupta</v>
      </c>
      <c r="D307" s="5" t="s">
        <v>522</v>
      </c>
      <c r="E307" s="5" t="s">
        <v>522</v>
      </c>
      <c r="F307" t="b">
        <v>1</v>
      </c>
      <c r="G307" s="5" t="s">
        <v>522</v>
      </c>
      <c r="H307" t="s">
        <v>523</v>
      </c>
      <c r="I307" t="b">
        <v>1</v>
      </c>
    </row>
    <row r="308" spans="1:9">
      <c r="A308" s="1" t="s">
        <v>265</v>
      </c>
      <c r="B308" t="s">
        <v>523</v>
      </c>
      <c r="C308" t="str">
        <f t="shared" si="4"/>
        <v>PAN_Pratibhaben Ajaykumar Shah</v>
      </c>
      <c r="D308" s="5" t="s">
        <v>522</v>
      </c>
      <c r="E308" s="5" t="s">
        <v>522</v>
      </c>
      <c r="F308" t="b">
        <v>1</v>
      </c>
      <c r="G308" s="5" t="s">
        <v>522</v>
      </c>
      <c r="H308" t="s">
        <v>523</v>
      </c>
      <c r="I308" t="b">
        <v>1</v>
      </c>
    </row>
    <row r="309" spans="1:9">
      <c r="A309" s="1" t="s">
        <v>368</v>
      </c>
      <c r="B309" t="s">
        <v>523</v>
      </c>
      <c r="C309" t="str">
        <f t="shared" si="4"/>
        <v>PAN_Shardaben B Kavathiya</v>
      </c>
      <c r="D309" s="5" t="s">
        <v>522</v>
      </c>
      <c r="E309" s="5" t="s">
        <v>522</v>
      </c>
      <c r="F309" t="b">
        <v>1</v>
      </c>
      <c r="G309" s="5" t="s">
        <v>522</v>
      </c>
      <c r="H309" t="s">
        <v>523</v>
      </c>
      <c r="I309" t="b">
        <v>1</v>
      </c>
    </row>
    <row r="310" spans="1:9">
      <c r="A310" s="1" t="s">
        <v>248</v>
      </c>
      <c r="B310" t="s">
        <v>523</v>
      </c>
      <c r="C310" t="str">
        <f t="shared" si="4"/>
        <v>PAN_Mithilesh Singh</v>
      </c>
      <c r="D310" s="5" t="s">
        <v>522</v>
      </c>
      <c r="E310" s="5" t="s">
        <v>522</v>
      </c>
      <c r="F310" t="b">
        <v>1</v>
      </c>
      <c r="G310" s="5" t="s">
        <v>522</v>
      </c>
      <c r="H310" t="s">
        <v>523</v>
      </c>
      <c r="I310" t="b">
        <v>1</v>
      </c>
    </row>
    <row r="311" spans="1:9">
      <c r="A311" s="1" t="s">
        <v>229</v>
      </c>
      <c r="B311" t="s">
        <v>523</v>
      </c>
      <c r="C311" t="str">
        <f t="shared" si="4"/>
        <v>PAN_Piyush N Shah</v>
      </c>
      <c r="D311" s="5" t="s">
        <v>522</v>
      </c>
      <c r="E311" s="5" t="s">
        <v>522</v>
      </c>
      <c r="F311" t="b">
        <v>1</v>
      </c>
      <c r="G311" s="5" t="s">
        <v>522</v>
      </c>
      <c r="H311" t="s">
        <v>523</v>
      </c>
      <c r="I311" t="b">
        <v>1</v>
      </c>
    </row>
    <row r="312" spans="1:9">
      <c r="A312" s="1" t="s">
        <v>430</v>
      </c>
      <c r="B312" t="s">
        <v>523</v>
      </c>
      <c r="C312" t="str">
        <f t="shared" si="4"/>
        <v>PAN_Rajkumar Patel</v>
      </c>
      <c r="D312" s="5" t="s">
        <v>522</v>
      </c>
      <c r="E312" s="5" t="s">
        <v>522</v>
      </c>
      <c r="F312" t="b">
        <v>1</v>
      </c>
      <c r="G312" s="5" t="s">
        <v>522</v>
      </c>
      <c r="H312" t="s">
        <v>523</v>
      </c>
      <c r="I312" t="b">
        <v>1</v>
      </c>
    </row>
    <row r="313" spans="1:9">
      <c r="A313" s="1" t="s">
        <v>257</v>
      </c>
      <c r="B313" t="s">
        <v>523</v>
      </c>
      <c r="C313" t="str">
        <f t="shared" si="4"/>
        <v>PAN_Kanchanben Pukhraj Shah</v>
      </c>
      <c r="D313" s="5" t="s">
        <v>522</v>
      </c>
      <c r="E313" s="5" t="s">
        <v>522</v>
      </c>
      <c r="F313" t="b">
        <v>1</v>
      </c>
      <c r="G313" s="5" t="s">
        <v>522</v>
      </c>
      <c r="H313" t="s">
        <v>523</v>
      </c>
      <c r="I313" t="b">
        <v>1</v>
      </c>
    </row>
    <row r="314" spans="1:9">
      <c r="A314" s="1" t="s">
        <v>338</v>
      </c>
      <c r="B314" t="s">
        <v>523</v>
      </c>
      <c r="C314" t="str">
        <f t="shared" si="4"/>
        <v>PAN_KnAdminnsense Studios LLP</v>
      </c>
      <c r="D314" s="5" t="s">
        <v>522</v>
      </c>
      <c r="E314" s="5" t="s">
        <v>522</v>
      </c>
      <c r="F314" t="b">
        <v>1</v>
      </c>
      <c r="G314" s="5" t="s">
        <v>522</v>
      </c>
      <c r="H314" t="s">
        <v>523</v>
      </c>
      <c r="I314" t="b">
        <v>1</v>
      </c>
    </row>
    <row r="315" spans="1:9">
      <c r="A315" s="1" t="s">
        <v>329</v>
      </c>
      <c r="B315" t="s">
        <v>523</v>
      </c>
      <c r="C315" t="str">
        <f t="shared" si="4"/>
        <v>PAN_Monil Hasmukhbhai Parikh HUF</v>
      </c>
      <c r="D315" s="5" t="s">
        <v>522</v>
      </c>
      <c r="E315" s="5" t="s">
        <v>522</v>
      </c>
      <c r="F315" t="b">
        <v>1</v>
      </c>
      <c r="G315" s="5" t="s">
        <v>522</v>
      </c>
      <c r="H315" t="s">
        <v>523</v>
      </c>
      <c r="I315" t="b">
        <v>1</v>
      </c>
    </row>
    <row r="316" spans="1:9">
      <c r="A316" s="1" t="s">
        <v>289</v>
      </c>
      <c r="B316" t="s">
        <v>523</v>
      </c>
      <c r="C316" t="str">
        <f t="shared" si="4"/>
        <v>PAN_Ravindra Purshottamdas Patel</v>
      </c>
      <c r="D316" s="5" t="s">
        <v>522</v>
      </c>
      <c r="E316" s="5" t="s">
        <v>522</v>
      </c>
      <c r="F316" t="b">
        <v>1</v>
      </c>
      <c r="G316" s="5" t="s">
        <v>522</v>
      </c>
      <c r="H316" t="s">
        <v>523</v>
      </c>
      <c r="I316" t="b">
        <v>1</v>
      </c>
    </row>
    <row r="317" spans="1:9">
      <c r="A317" s="1" t="s">
        <v>254</v>
      </c>
      <c r="B317" t="s">
        <v>523</v>
      </c>
      <c r="C317" t="str">
        <f t="shared" si="4"/>
        <v>PAN_Intelligent IT Hub Pvt Ltd</v>
      </c>
      <c r="D317" s="5" t="s">
        <v>522</v>
      </c>
      <c r="E317" s="5" t="s">
        <v>522</v>
      </c>
      <c r="F317" t="b">
        <v>1</v>
      </c>
      <c r="G317" s="5" t="s">
        <v>522</v>
      </c>
      <c r="H317" t="s">
        <v>523</v>
      </c>
      <c r="I317" t="b">
        <v>1</v>
      </c>
    </row>
    <row r="318" spans="1:9">
      <c r="A318" s="1" t="s">
        <v>404</v>
      </c>
      <c r="B318" t="s">
        <v>523</v>
      </c>
      <c r="C318" t="str">
        <f t="shared" si="4"/>
        <v>PAN_P.R. Patel&amp;Co.</v>
      </c>
      <c r="D318" s="5" t="s">
        <v>522</v>
      </c>
      <c r="E318" s="5" t="s">
        <v>522</v>
      </c>
      <c r="F318" t="b">
        <v>1</v>
      </c>
      <c r="G318" s="5" t="s">
        <v>522</v>
      </c>
      <c r="H318" t="s">
        <v>523</v>
      </c>
      <c r="I318" t="b">
        <v>1</v>
      </c>
    </row>
    <row r="319" spans="1:9">
      <c r="A319" s="1" t="s">
        <v>307</v>
      </c>
      <c r="B319" t="s">
        <v>523</v>
      </c>
      <c r="C319" t="str">
        <f t="shared" si="4"/>
        <v>PAN_Pranav Chandresh Patel</v>
      </c>
      <c r="D319" s="5" t="s">
        <v>522</v>
      </c>
      <c r="E319" s="5" t="s">
        <v>522</v>
      </c>
      <c r="F319" t="b">
        <v>1</v>
      </c>
      <c r="G319" s="5" t="s">
        <v>522</v>
      </c>
      <c r="H319" t="s">
        <v>523</v>
      </c>
      <c r="I319" t="b">
        <v>1</v>
      </c>
    </row>
    <row r="320" spans="1:9">
      <c r="A320" s="1" t="s">
        <v>183</v>
      </c>
      <c r="B320" t="s">
        <v>523</v>
      </c>
      <c r="C320" t="str">
        <f t="shared" si="4"/>
        <v>PAN_Harsad Babulal Jani</v>
      </c>
      <c r="D320" s="5" t="s">
        <v>522</v>
      </c>
      <c r="E320" s="5" t="s">
        <v>522</v>
      </c>
      <c r="F320" t="b">
        <v>1</v>
      </c>
      <c r="G320" s="5" t="s">
        <v>522</v>
      </c>
      <c r="H320" t="s">
        <v>523</v>
      </c>
      <c r="I320" t="b">
        <v>1</v>
      </c>
    </row>
    <row r="321" spans="1:9">
      <c r="A321" s="1" t="s">
        <v>163</v>
      </c>
      <c r="B321" t="s">
        <v>523</v>
      </c>
      <c r="C321" t="str">
        <f t="shared" si="4"/>
        <v>PAN_Gopiben R Patel</v>
      </c>
      <c r="D321" s="5" t="s">
        <v>522</v>
      </c>
      <c r="E321" s="5" t="s">
        <v>522</v>
      </c>
      <c r="F321" t="b">
        <v>1</v>
      </c>
      <c r="G321" s="5" t="s">
        <v>522</v>
      </c>
      <c r="H321" t="s">
        <v>523</v>
      </c>
      <c r="I321" t="b">
        <v>1</v>
      </c>
    </row>
    <row r="322" spans="1:9">
      <c r="A322" s="1" t="s">
        <v>261</v>
      </c>
      <c r="B322" t="s">
        <v>523</v>
      </c>
      <c r="C322" t="str">
        <f t="shared" ref="C322:C385" si="5">B322&amp;"_"&amp;A322</f>
        <v>PAN_Gaurav Mehta</v>
      </c>
      <c r="D322" s="5" t="s">
        <v>522</v>
      </c>
      <c r="E322" s="5" t="s">
        <v>522</v>
      </c>
      <c r="F322" t="b">
        <v>1</v>
      </c>
      <c r="G322" s="5" t="s">
        <v>522</v>
      </c>
      <c r="H322" t="s">
        <v>523</v>
      </c>
      <c r="I322" t="b">
        <v>1</v>
      </c>
    </row>
    <row r="323" spans="1:9">
      <c r="A323" s="1" t="s">
        <v>287</v>
      </c>
      <c r="B323" t="s">
        <v>523</v>
      </c>
      <c r="C323" t="str">
        <f t="shared" si="5"/>
        <v xml:space="preserve">PAN_Nirmalaben B Ajara </v>
      </c>
      <c r="D323" s="5" t="s">
        <v>522</v>
      </c>
      <c r="E323" s="5" t="s">
        <v>522</v>
      </c>
      <c r="F323" t="b">
        <v>1</v>
      </c>
      <c r="G323" s="5" t="s">
        <v>522</v>
      </c>
      <c r="H323" t="s">
        <v>523</v>
      </c>
      <c r="I323" t="b">
        <v>1</v>
      </c>
    </row>
    <row r="324" spans="1:9">
      <c r="A324" s="1" t="s">
        <v>460</v>
      </c>
      <c r="B324" t="s">
        <v>523</v>
      </c>
      <c r="C324" t="str">
        <f t="shared" si="5"/>
        <v>PAN_Amit M Panchal</v>
      </c>
      <c r="D324" s="5" t="s">
        <v>522</v>
      </c>
      <c r="E324" s="5" t="s">
        <v>522</v>
      </c>
      <c r="F324" t="b">
        <v>1</v>
      </c>
      <c r="G324" s="5" t="s">
        <v>522</v>
      </c>
      <c r="H324" t="s">
        <v>523</v>
      </c>
      <c r="I324" t="b">
        <v>1</v>
      </c>
    </row>
    <row r="325" spans="1:9">
      <c r="A325" s="1" t="s">
        <v>219</v>
      </c>
      <c r="B325" t="s">
        <v>523</v>
      </c>
      <c r="C325" t="str">
        <f t="shared" si="5"/>
        <v>PAN_Vinodbhai Jagdishbhai Patel</v>
      </c>
      <c r="D325" s="5" t="s">
        <v>522</v>
      </c>
      <c r="E325" s="5" t="s">
        <v>522</v>
      </c>
      <c r="F325" t="b">
        <v>1</v>
      </c>
      <c r="G325" s="5" t="s">
        <v>522</v>
      </c>
      <c r="H325" t="s">
        <v>523</v>
      </c>
      <c r="I325" t="b">
        <v>1</v>
      </c>
    </row>
    <row r="326" spans="1:9">
      <c r="A326" s="1" t="s">
        <v>402</v>
      </c>
      <c r="B326" t="s">
        <v>523</v>
      </c>
      <c r="C326" t="str">
        <f t="shared" si="5"/>
        <v>PAN_Shushil Shukla</v>
      </c>
      <c r="D326" s="5" t="s">
        <v>522</v>
      </c>
      <c r="E326" s="5" t="s">
        <v>522</v>
      </c>
      <c r="F326" t="b">
        <v>1</v>
      </c>
      <c r="G326" s="5" t="s">
        <v>522</v>
      </c>
      <c r="H326" t="s">
        <v>523</v>
      </c>
      <c r="I326" t="b">
        <v>1</v>
      </c>
    </row>
    <row r="327" spans="1:9">
      <c r="A327" s="1" t="s">
        <v>362</v>
      </c>
      <c r="B327" t="s">
        <v>523</v>
      </c>
      <c r="C327" t="str">
        <f t="shared" si="5"/>
        <v>PAN_Sapphire Software Solutions</v>
      </c>
      <c r="D327" s="5" t="s">
        <v>522</v>
      </c>
      <c r="E327" s="5" t="s">
        <v>522</v>
      </c>
      <c r="F327" t="b">
        <v>1</v>
      </c>
      <c r="G327" s="5" t="s">
        <v>522</v>
      </c>
      <c r="H327" t="s">
        <v>523</v>
      </c>
      <c r="I327" t="b">
        <v>1</v>
      </c>
    </row>
    <row r="328" spans="1:9">
      <c r="A328" s="1" t="s">
        <v>301</v>
      </c>
      <c r="B328" t="s">
        <v>523</v>
      </c>
      <c r="C328" t="str">
        <f t="shared" si="5"/>
        <v>PAN_Vinodbhai C Patel</v>
      </c>
      <c r="D328" s="5" t="s">
        <v>522</v>
      </c>
      <c r="E328" s="5" t="s">
        <v>522</v>
      </c>
      <c r="F328" t="b">
        <v>1</v>
      </c>
      <c r="G328" s="5" t="s">
        <v>522</v>
      </c>
      <c r="H328" t="s">
        <v>523</v>
      </c>
      <c r="I328" t="b">
        <v>1</v>
      </c>
    </row>
    <row r="329" spans="1:9">
      <c r="A329" s="1" t="s">
        <v>442</v>
      </c>
      <c r="B329" t="s">
        <v>523</v>
      </c>
      <c r="C329" t="str">
        <f t="shared" si="5"/>
        <v xml:space="preserve">PAN_Pravinbhai M Patel </v>
      </c>
      <c r="D329" s="5" t="s">
        <v>522</v>
      </c>
      <c r="E329" s="5" t="s">
        <v>522</v>
      </c>
      <c r="F329" t="b">
        <v>1</v>
      </c>
      <c r="G329" s="5" t="s">
        <v>522</v>
      </c>
      <c r="H329" t="s">
        <v>523</v>
      </c>
      <c r="I329" t="b">
        <v>1</v>
      </c>
    </row>
    <row r="330" spans="1:9">
      <c r="A330" s="1" t="s">
        <v>275</v>
      </c>
      <c r="B330" t="s">
        <v>523</v>
      </c>
      <c r="C330" t="str">
        <f t="shared" si="5"/>
        <v>PAN_Vijaykumar Girjaprasad Thaker HUF</v>
      </c>
      <c r="D330" s="5" t="s">
        <v>522</v>
      </c>
      <c r="E330" s="5" t="s">
        <v>522</v>
      </c>
      <c r="F330" t="b">
        <v>1</v>
      </c>
      <c r="G330" s="5" t="s">
        <v>522</v>
      </c>
      <c r="H330" t="s">
        <v>523</v>
      </c>
      <c r="I330" t="b">
        <v>1</v>
      </c>
    </row>
    <row r="331" spans="1:9">
      <c r="A331" s="1" t="s">
        <v>179</v>
      </c>
      <c r="B331" t="s">
        <v>523</v>
      </c>
      <c r="C331" t="str">
        <f t="shared" si="5"/>
        <v>PAN_M_S. Opulence Business Solutions Pvt Ltd</v>
      </c>
      <c r="D331" s="5" t="s">
        <v>522</v>
      </c>
      <c r="E331" s="5" t="s">
        <v>522</v>
      </c>
      <c r="F331" t="b">
        <v>1</v>
      </c>
      <c r="G331" s="5" t="s">
        <v>522</v>
      </c>
      <c r="H331" t="s">
        <v>523</v>
      </c>
      <c r="I331" t="b">
        <v>1</v>
      </c>
    </row>
    <row r="332" spans="1:9">
      <c r="A332" s="1" t="s">
        <v>169</v>
      </c>
      <c r="B332" t="s">
        <v>523</v>
      </c>
      <c r="C332" t="str">
        <f t="shared" si="5"/>
        <v>PAN_Ashaben V Darji</v>
      </c>
      <c r="D332" s="5" t="s">
        <v>522</v>
      </c>
      <c r="E332" s="5" t="s">
        <v>522</v>
      </c>
      <c r="F332" t="b">
        <v>1</v>
      </c>
      <c r="G332" s="5" t="s">
        <v>522</v>
      </c>
      <c r="H332" t="s">
        <v>523</v>
      </c>
      <c r="I332" t="b">
        <v>1</v>
      </c>
    </row>
    <row r="333" spans="1:9">
      <c r="A333" s="1" t="s">
        <v>309</v>
      </c>
      <c r="B333" t="s">
        <v>523</v>
      </c>
      <c r="C333" t="str">
        <f t="shared" si="5"/>
        <v>PAN_Hyperlink Info System C_o Harni</v>
      </c>
      <c r="D333" s="5" t="s">
        <v>522</v>
      </c>
      <c r="E333" s="5" t="s">
        <v>522</v>
      </c>
      <c r="F333" t="b">
        <v>1</v>
      </c>
      <c r="G333" s="5" t="s">
        <v>522</v>
      </c>
      <c r="H333" t="s">
        <v>523</v>
      </c>
      <c r="I333" t="b">
        <v>1</v>
      </c>
    </row>
    <row r="334" spans="1:9">
      <c r="A334" s="1" t="s">
        <v>432</v>
      </c>
      <c r="B334" t="s">
        <v>523</v>
      </c>
      <c r="C334" t="str">
        <f t="shared" si="5"/>
        <v xml:space="preserve">PAN_Maulik Dipakkumar Shah </v>
      </c>
      <c r="D334" s="5" t="s">
        <v>522</v>
      </c>
      <c r="E334" s="5" t="s">
        <v>522</v>
      </c>
      <c r="F334" t="b">
        <v>1</v>
      </c>
      <c r="G334" s="5" t="s">
        <v>522</v>
      </c>
      <c r="H334" t="s">
        <v>523</v>
      </c>
      <c r="I334" t="b">
        <v>1</v>
      </c>
    </row>
    <row r="335" spans="1:9">
      <c r="A335" s="1" t="s">
        <v>195</v>
      </c>
      <c r="B335" t="s">
        <v>523</v>
      </c>
      <c r="C335" t="str">
        <f t="shared" si="5"/>
        <v>PAN_Dev Chemicals</v>
      </c>
      <c r="D335" s="5" t="s">
        <v>522</v>
      </c>
      <c r="E335" s="5" t="s">
        <v>522</v>
      </c>
      <c r="F335" t="b">
        <v>1</v>
      </c>
      <c r="G335" s="5" t="s">
        <v>522</v>
      </c>
      <c r="H335" t="s">
        <v>523</v>
      </c>
      <c r="I335" t="b">
        <v>1</v>
      </c>
    </row>
    <row r="336" spans="1:9">
      <c r="A336" s="1" t="s">
        <v>227</v>
      </c>
      <c r="B336" t="s">
        <v>523</v>
      </c>
      <c r="C336" t="str">
        <f t="shared" si="5"/>
        <v>PAN_Mit Rajendra Shah</v>
      </c>
      <c r="D336" s="5" t="s">
        <v>522</v>
      </c>
      <c r="E336" s="5" t="s">
        <v>522</v>
      </c>
      <c r="F336" t="b">
        <v>1</v>
      </c>
      <c r="G336" s="5" t="s">
        <v>522</v>
      </c>
      <c r="H336" t="s">
        <v>523</v>
      </c>
      <c r="I336" t="b">
        <v>1</v>
      </c>
    </row>
    <row r="337" spans="1:9">
      <c r="A337" s="1" t="s">
        <v>252</v>
      </c>
      <c r="B337" t="s">
        <v>523</v>
      </c>
      <c r="C337" t="str">
        <f t="shared" si="5"/>
        <v xml:space="preserve">PAN_Nilesh D Patel </v>
      </c>
      <c r="D337" s="5" t="s">
        <v>522</v>
      </c>
      <c r="E337" s="5" t="s">
        <v>522</v>
      </c>
      <c r="F337" t="b">
        <v>1</v>
      </c>
      <c r="G337" s="5" t="s">
        <v>522</v>
      </c>
      <c r="H337" t="s">
        <v>523</v>
      </c>
      <c r="I337" t="b">
        <v>1</v>
      </c>
    </row>
    <row r="338" spans="1:9">
      <c r="A338" s="1" t="s">
        <v>311</v>
      </c>
      <c r="B338" t="s">
        <v>523</v>
      </c>
      <c r="C338" t="str">
        <f t="shared" si="5"/>
        <v>PAN_H.V. Infotech</v>
      </c>
      <c r="D338" s="5" t="s">
        <v>522</v>
      </c>
      <c r="E338" s="5" t="s">
        <v>522</v>
      </c>
      <c r="F338" t="b">
        <v>1</v>
      </c>
      <c r="G338" s="5" t="s">
        <v>522</v>
      </c>
      <c r="H338" t="s">
        <v>523</v>
      </c>
      <c r="I338" t="b">
        <v>1</v>
      </c>
    </row>
    <row r="339" spans="1:9">
      <c r="A339" s="1" t="s">
        <v>295</v>
      </c>
      <c r="B339" t="s">
        <v>523</v>
      </c>
      <c r="C339" t="str">
        <f t="shared" si="5"/>
        <v>PAN_Anshu Asthana</v>
      </c>
      <c r="D339" s="5" t="s">
        <v>522</v>
      </c>
      <c r="E339" s="5" t="s">
        <v>522</v>
      </c>
      <c r="F339" t="b">
        <v>1</v>
      </c>
      <c r="G339" s="5" t="s">
        <v>522</v>
      </c>
      <c r="H339" t="s">
        <v>523</v>
      </c>
      <c r="I339" t="b">
        <v>1</v>
      </c>
    </row>
    <row r="340" spans="1:9">
      <c r="A340" s="1" t="s">
        <v>455</v>
      </c>
      <c r="B340" t="s">
        <v>523</v>
      </c>
      <c r="C340" t="str">
        <f t="shared" si="5"/>
        <v>PAN_Dashrathbhai S Patel</v>
      </c>
      <c r="D340" s="5" t="s">
        <v>522</v>
      </c>
      <c r="E340" s="5" t="s">
        <v>522</v>
      </c>
      <c r="F340" t="b">
        <v>1</v>
      </c>
      <c r="G340" s="5" t="s">
        <v>522</v>
      </c>
      <c r="H340" t="s">
        <v>523</v>
      </c>
      <c r="I340" t="b">
        <v>1</v>
      </c>
    </row>
    <row r="341" spans="1:9">
      <c r="A341" s="1" t="s">
        <v>418</v>
      </c>
      <c r="B341" t="s">
        <v>523</v>
      </c>
      <c r="C341" t="str">
        <f t="shared" si="5"/>
        <v>PAN_Sonalika Tractor</v>
      </c>
      <c r="D341" s="5" t="s">
        <v>522</v>
      </c>
      <c r="E341" s="5" t="s">
        <v>522</v>
      </c>
      <c r="F341" t="b">
        <v>1</v>
      </c>
      <c r="G341" s="5" t="s">
        <v>522</v>
      </c>
      <c r="H341" t="s">
        <v>523</v>
      </c>
      <c r="I341" t="b">
        <v>1</v>
      </c>
    </row>
    <row r="342" spans="1:9">
      <c r="A342" s="1" t="s">
        <v>342</v>
      </c>
      <c r="B342" t="s">
        <v>523</v>
      </c>
      <c r="C342" t="str">
        <f t="shared" si="5"/>
        <v>PAN_Rathin Prakashbhai Raval</v>
      </c>
      <c r="D342" s="5" t="s">
        <v>522</v>
      </c>
      <c r="E342" s="5" t="s">
        <v>522</v>
      </c>
      <c r="F342" t="b">
        <v>1</v>
      </c>
      <c r="G342" s="5" t="s">
        <v>522</v>
      </c>
      <c r="H342" t="s">
        <v>523</v>
      </c>
      <c r="I342" t="b">
        <v>1</v>
      </c>
    </row>
    <row r="343" spans="1:9">
      <c r="A343" s="1" t="s">
        <v>422</v>
      </c>
      <c r="B343" t="s">
        <v>523</v>
      </c>
      <c r="C343" t="str">
        <f t="shared" si="5"/>
        <v>PAN_Apurva Rasikbhai Kapadia</v>
      </c>
      <c r="D343" s="5" t="s">
        <v>522</v>
      </c>
      <c r="E343" s="5" t="s">
        <v>522</v>
      </c>
      <c r="F343" t="b">
        <v>1</v>
      </c>
      <c r="G343" s="5" t="s">
        <v>522</v>
      </c>
      <c r="H343" t="s">
        <v>523</v>
      </c>
      <c r="I343" t="b">
        <v>1</v>
      </c>
    </row>
    <row r="344" spans="1:9">
      <c r="A344" s="1" t="s">
        <v>207</v>
      </c>
      <c r="B344" t="s">
        <v>523</v>
      </c>
      <c r="C344" t="str">
        <f t="shared" si="5"/>
        <v>PAN_Ronak Manubhai Patel</v>
      </c>
      <c r="D344" s="5" t="s">
        <v>522</v>
      </c>
      <c r="E344" s="5" t="s">
        <v>522</v>
      </c>
      <c r="F344" t="b">
        <v>1</v>
      </c>
      <c r="G344" s="5" t="s">
        <v>522</v>
      </c>
      <c r="H344" t="s">
        <v>523</v>
      </c>
      <c r="I344" t="b">
        <v>1</v>
      </c>
    </row>
    <row r="345" spans="1:9">
      <c r="A345" s="1" t="s">
        <v>231</v>
      </c>
      <c r="B345" t="s">
        <v>523</v>
      </c>
      <c r="C345" t="str">
        <f t="shared" si="5"/>
        <v>PAN_Nitinbhai V Patel</v>
      </c>
      <c r="D345" s="5" t="s">
        <v>522</v>
      </c>
      <c r="E345" s="5" t="s">
        <v>522</v>
      </c>
      <c r="F345" t="b">
        <v>1</v>
      </c>
      <c r="G345" s="5" t="s">
        <v>522</v>
      </c>
      <c r="H345" t="s">
        <v>523</v>
      </c>
      <c r="I345" t="b">
        <v>1</v>
      </c>
    </row>
    <row r="346" spans="1:9">
      <c r="A346" s="1" t="s">
        <v>244</v>
      </c>
      <c r="B346" t="s">
        <v>523</v>
      </c>
      <c r="C346" t="str">
        <f t="shared" si="5"/>
        <v>PAN_Poulami Pramod Patel</v>
      </c>
      <c r="D346" s="5" t="s">
        <v>522</v>
      </c>
      <c r="E346" s="5" t="s">
        <v>522</v>
      </c>
      <c r="F346" t="b">
        <v>1</v>
      </c>
      <c r="G346" s="5" t="s">
        <v>522</v>
      </c>
      <c r="H346" t="s">
        <v>523</v>
      </c>
      <c r="I346" t="b">
        <v>1</v>
      </c>
    </row>
    <row r="347" spans="1:9">
      <c r="A347" s="1" t="s">
        <v>344</v>
      </c>
      <c r="B347" t="s">
        <v>523</v>
      </c>
      <c r="C347" t="str">
        <f t="shared" si="5"/>
        <v>PAN_Prafulla H Gehlot</v>
      </c>
      <c r="D347" s="5" t="s">
        <v>522</v>
      </c>
      <c r="E347" s="5" t="s">
        <v>522</v>
      </c>
      <c r="F347" t="b">
        <v>1</v>
      </c>
      <c r="G347" s="5" t="s">
        <v>522</v>
      </c>
      <c r="H347" t="s">
        <v>523</v>
      </c>
      <c r="I347" t="b">
        <v>1</v>
      </c>
    </row>
    <row r="348" spans="1:9">
      <c r="A348" s="1" t="s">
        <v>187</v>
      </c>
      <c r="B348" t="s">
        <v>523</v>
      </c>
      <c r="C348" t="str">
        <f t="shared" si="5"/>
        <v xml:space="preserve">PAN_Sanjay Revaram Trivedi </v>
      </c>
      <c r="D348" s="5" t="s">
        <v>522</v>
      </c>
      <c r="E348" s="5" t="s">
        <v>522</v>
      </c>
      <c r="F348" t="b">
        <v>1</v>
      </c>
      <c r="G348" s="5" t="s">
        <v>522</v>
      </c>
      <c r="H348" t="s">
        <v>523</v>
      </c>
      <c r="I348" t="b">
        <v>1</v>
      </c>
    </row>
    <row r="349" spans="1:9">
      <c r="A349" s="1" t="s">
        <v>125</v>
      </c>
      <c r="B349" t="s">
        <v>523</v>
      </c>
      <c r="C349" t="str">
        <f t="shared" si="5"/>
        <v xml:space="preserve">PAN_Hasmukhlal K Thakkar </v>
      </c>
      <c r="D349" s="5" t="s">
        <v>522</v>
      </c>
      <c r="E349" s="5" t="s">
        <v>522</v>
      </c>
      <c r="F349" t="b">
        <v>1</v>
      </c>
      <c r="G349" s="5" t="s">
        <v>522</v>
      </c>
      <c r="H349" t="s">
        <v>523</v>
      </c>
      <c r="I349" t="b">
        <v>1</v>
      </c>
    </row>
    <row r="350" spans="1:9">
      <c r="A350" s="1" t="s">
        <v>450</v>
      </c>
      <c r="B350" t="s">
        <v>523</v>
      </c>
      <c r="C350" t="str">
        <f t="shared" si="5"/>
        <v>PAN_Devang Vyas</v>
      </c>
      <c r="D350" s="5" t="s">
        <v>522</v>
      </c>
      <c r="E350" s="5" t="s">
        <v>522</v>
      </c>
      <c r="F350" t="b">
        <v>1</v>
      </c>
      <c r="G350" s="5" t="s">
        <v>522</v>
      </c>
      <c r="H350" t="s">
        <v>523</v>
      </c>
      <c r="I350" t="b">
        <v>1</v>
      </c>
    </row>
    <row r="351" spans="1:9">
      <c r="A351" s="1" t="s">
        <v>269</v>
      </c>
      <c r="B351" t="s">
        <v>523</v>
      </c>
      <c r="C351" t="str">
        <f t="shared" si="5"/>
        <v>PAN_Parasben J Rao</v>
      </c>
      <c r="D351" s="5" t="s">
        <v>522</v>
      </c>
      <c r="E351" s="5" t="s">
        <v>522</v>
      </c>
      <c r="F351" t="b">
        <v>1</v>
      </c>
      <c r="G351" s="5" t="s">
        <v>522</v>
      </c>
      <c r="H351" t="s">
        <v>523</v>
      </c>
      <c r="I351" t="b">
        <v>1</v>
      </c>
    </row>
    <row r="352" spans="1:9">
      <c r="A352" s="1" t="s">
        <v>315</v>
      </c>
      <c r="B352" t="s">
        <v>523</v>
      </c>
      <c r="C352" t="str">
        <f t="shared" si="5"/>
        <v xml:space="preserve">PAN_Ashishkumar B Patel </v>
      </c>
      <c r="D352" s="5" t="s">
        <v>522</v>
      </c>
      <c r="E352" s="5" t="s">
        <v>522</v>
      </c>
      <c r="F352" t="b">
        <v>1</v>
      </c>
      <c r="G352" s="5" t="s">
        <v>522</v>
      </c>
      <c r="H352" t="s">
        <v>523</v>
      </c>
      <c r="I352" t="b">
        <v>1</v>
      </c>
    </row>
    <row r="353" spans="1:9">
      <c r="A353" s="1" t="s">
        <v>271</v>
      </c>
      <c r="B353" t="s">
        <v>523</v>
      </c>
      <c r="C353" t="str">
        <f t="shared" si="5"/>
        <v>PAN_Jigneshbhai I Barot</v>
      </c>
      <c r="D353" s="5" t="s">
        <v>522</v>
      </c>
      <c r="E353" s="5" t="s">
        <v>522</v>
      </c>
      <c r="F353" t="b">
        <v>1</v>
      </c>
      <c r="G353" s="5" t="s">
        <v>522</v>
      </c>
      <c r="H353" t="s">
        <v>523</v>
      </c>
      <c r="I353" t="b">
        <v>1</v>
      </c>
    </row>
    <row r="354" spans="1:9">
      <c r="A354" s="1" t="s">
        <v>189</v>
      </c>
      <c r="B354" t="s">
        <v>523</v>
      </c>
      <c r="C354" t="str">
        <f t="shared" si="5"/>
        <v>PAN_Macgray Solutions Pvt Ltd</v>
      </c>
      <c r="D354" s="5" t="s">
        <v>522</v>
      </c>
      <c r="E354" s="5" t="s">
        <v>522</v>
      </c>
      <c r="F354" t="b">
        <v>1</v>
      </c>
      <c r="G354" s="5" t="s">
        <v>522</v>
      </c>
      <c r="H354" t="s">
        <v>523</v>
      </c>
      <c r="I354" t="b">
        <v>1</v>
      </c>
    </row>
    <row r="355" spans="1:9">
      <c r="A355" s="1" t="s">
        <v>173</v>
      </c>
      <c r="B355" t="s">
        <v>523</v>
      </c>
      <c r="C355" t="str">
        <f t="shared" si="5"/>
        <v>PAN_Vardayni Organics</v>
      </c>
      <c r="D355" s="5" t="s">
        <v>522</v>
      </c>
      <c r="E355" s="5" t="s">
        <v>522</v>
      </c>
      <c r="F355" t="b">
        <v>1</v>
      </c>
      <c r="G355" s="5" t="s">
        <v>522</v>
      </c>
      <c r="H355" t="s">
        <v>523</v>
      </c>
      <c r="I355" t="b">
        <v>1</v>
      </c>
    </row>
    <row r="356" spans="1:9">
      <c r="A356" s="1" t="s">
        <v>414</v>
      </c>
      <c r="B356" t="s">
        <v>523</v>
      </c>
      <c r="C356" t="str">
        <f t="shared" si="5"/>
        <v>PAN_Dashrathbhai K Patel</v>
      </c>
      <c r="D356" s="5" t="s">
        <v>522</v>
      </c>
      <c r="E356" s="5" t="s">
        <v>522</v>
      </c>
      <c r="F356" t="b">
        <v>1</v>
      </c>
      <c r="G356" s="5" t="s">
        <v>522</v>
      </c>
      <c r="H356" t="s">
        <v>523</v>
      </c>
      <c r="I356" t="b">
        <v>1</v>
      </c>
    </row>
    <row r="357" spans="1:9">
      <c r="A357" s="1" t="s">
        <v>259</v>
      </c>
      <c r="B357" t="s">
        <v>523</v>
      </c>
      <c r="C357" t="str">
        <f t="shared" si="5"/>
        <v>PAN_Priyank N Gandhi</v>
      </c>
      <c r="D357" s="5" t="s">
        <v>522</v>
      </c>
      <c r="E357" s="5" t="s">
        <v>522</v>
      </c>
      <c r="F357" t="b">
        <v>1</v>
      </c>
      <c r="G357" s="5" t="s">
        <v>522</v>
      </c>
      <c r="H357" t="s">
        <v>523</v>
      </c>
      <c r="I357" t="b">
        <v>1</v>
      </c>
    </row>
    <row r="358" spans="1:9">
      <c r="A358" s="1" t="s">
        <v>293</v>
      </c>
      <c r="B358" t="s">
        <v>523</v>
      </c>
      <c r="C358" t="str">
        <f t="shared" si="5"/>
        <v>PAN_SOAR Technologies</v>
      </c>
      <c r="D358" s="5" t="s">
        <v>522</v>
      </c>
      <c r="E358" s="5" t="s">
        <v>522</v>
      </c>
      <c r="F358" t="b">
        <v>1</v>
      </c>
      <c r="G358" s="5" t="s">
        <v>522</v>
      </c>
      <c r="H358" t="s">
        <v>523</v>
      </c>
      <c r="I358" t="b">
        <v>1</v>
      </c>
    </row>
    <row r="359" spans="1:9">
      <c r="A359" s="1" t="s">
        <v>246</v>
      </c>
      <c r="B359" t="s">
        <v>523</v>
      </c>
      <c r="C359" t="str">
        <f t="shared" si="5"/>
        <v xml:space="preserve">PAN_Dipalbhai G Nakrani </v>
      </c>
      <c r="D359" s="5" t="s">
        <v>522</v>
      </c>
      <c r="E359" s="5" t="s">
        <v>522</v>
      </c>
      <c r="F359" t="b">
        <v>1</v>
      </c>
      <c r="G359" s="5" t="s">
        <v>522</v>
      </c>
      <c r="H359" t="s">
        <v>523</v>
      </c>
      <c r="I359" t="b">
        <v>1</v>
      </c>
    </row>
    <row r="360" spans="1:9">
      <c r="A360" s="1" t="s">
        <v>406</v>
      </c>
      <c r="B360" t="s">
        <v>523</v>
      </c>
      <c r="C360" t="str">
        <f t="shared" si="5"/>
        <v>PAN_Vipul Mahendrabhai Patel - HUF</v>
      </c>
      <c r="D360" s="5" t="s">
        <v>522</v>
      </c>
      <c r="E360" s="5" t="s">
        <v>522</v>
      </c>
      <c r="F360" t="b">
        <v>1</v>
      </c>
      <c r="G360" s="5" t="s">
        <v>522</v>
      </c>
      <c r="H360" t="s">
        <v>523</v>
      </c>
      <c r="I360" t="b">
        <v>1</v>
      </c>
    </row>
    <row r="361" spans="1:9">
      <c r="A361" s="1" t="s">
        <v>283</v>
      </c>
      <c r="B361" t="s">
        <v>523</v>
      </c>
      <c r="C361" t="str">
        <f t="shared" si="5"/>
        <v>PAN_Devanshi Chirag Patel</v>
      </c>
      <c r="D361" s="5" t="s">
        <v>522</v>
      </c>
      <c r="E361" s="5" t="s">
        <v>522</v>
      </c>
      <c r="F361" t="b">
        <v>1</v>
      </c>
      <c r="G361" s="5" t="s">
        <v>522</v>
      </c>
      <c r="H361" t="s">
        <v>523</v>
      </c>
      <c r="I361" t="b">
        <v>1</v>
      </c>
    </row>
    <row r="362" spans="1:9">
      <c r="A362" s="1" t="s">
        <v>165</v>
      </c>
      <c r="B362" t="s">
        <v>523</v>
      </c>
      <c r="C362" t="str">
        <f t="shared" si="5"/>
        <v>PAN_M_S.Bonita Farmaceuticals Pvt Ltd</v>
      </c>
      <c r="D362" s="5" t="s">
        <v>522</v>
      </c>
      <c r="E362" s="5" t="s">
        <v>522</v>
      </c>
      <c r="F362" t="b">
        <v>1</v>
      </c>
      <c r="G362" s="5" t="s">
        <v>522</v>
      </c>
      <c r="H362" t="s">
        <v>523</v>
      </c>
      <c r="I362" t="b">
        <v>1</v>
      </c>
    </row>
    <row r="363" spans="1:9">
      <c r="A363" s="1" t="s">
        <v>277</v>
      </c>
      <c r="B363" t="s">
        <v>523</v>
      </c>
      <c r="C363" t="str">
        <f t="shared" si="5"/>
        <v>PAN_Pcot Export</v>
      </c>
      <c r="D363" s="5" t="s">
        <v>522</v>
      </c>
      <c r="E363" s="5" t="s">
        <v>522</v>
      </c>
      <c r="F363" t="b">
        <v>1</v>
      </c>
      <c r="G363" s="5" t="s">
        <v>522</v>
      </c>
      <c r="H363" t="s">
        <v>523</v>
      </c>
      <c r="I363" t="b">
        <v>1</v>
      </c>
    </row>
    <row r="364" spans="1:9">
      <c r="A364" s="1" t="s">
        <v>385</v>
      </c>
      <c r="B364" t="s">
        <v>523</v>
      </c>
      <c r="C364" t="str">
        <f t="shared" si="5"/>
        <v>PAN_Vinod Jivrajbhai Chotaliya</v>
      </c>
      <c r="D364" s="5" t="s">
        <v>522</v>
      </c>
      <c r="E364" s="5" t="s">
        <v>522</v>
      </c>
      <c r="F364" t="b">
        <v>1</v>
      </c>
      <c r="G364" s="5" t="s">
        <v>522</v>
      </c>
      <c r="H364" t="s">
        <v>523</v>
      </c>
      <c r="I364" t="b">
        <v>1</v>
      </c>
    </row>
    <row r="365" spans="1:9">
      <c r="A365" s="1" t="s">
        <v>113</v>
      </c>
      <c r="B365" t="s">
        <v>523</v>
      </c>
      <c r="C365" t="str">
        <f t="shared" si="5"/>
        <v>PAN_Gabon Seramik Pvt Ltd</v>
      </c>
      <c r="D365" s="5" t="s">
        <v>522</v>
      </c>
      <c r="E365" s="5" t="s">
        <v>522</v>
      </c>
      <c r="F365" t="b">
        <v>1</v>
      </c>
      <c r="G365" s="5" t="s">
        <v>522</v>
      </c>
      <c r="H365" t="s">
        <v>523</v>
      </c>
      <c r="I365" t="b">
        <v>1</v>
      </c>
    </row>
    <row r="366" spans="1:9">
      <c r="A366" s="1" t="s">
        <v>323</v>
      </c>
      <c r="B366" t="s">
        <v>523</v>
      </c>
      <c r="C366" t="str">
        <f t="shared" si="5"/>
        <v>PAN_M_S.Alpesh Infrastructure Pvt Ltd</v>
      </c>
      <c r="D366" s="5" t="s">
        <v>522</v>
      </c>
      <c r="E366" s="5" t="s">
        <v>522</v>
      </c>
      <c r="F366" t="b">
        <v>1</v>
      </c>
      <c r="G366" s="5" t="s">
        <v>522</v>
      </c>
      <c r="H366" t="s">
        <v>523</v>
      </c>
      <c r="I366" t="b">
        <v>1</v>
      </c>
    </row>
    <row r="367" spans="1:9">
      <c r="A367" s="1" t="s">
        <v>426</v>
      </c>
      <c r="B367" t="s">
        <v>523</v>
      </c>
      <c r="C367" t="str">
        <f t="shared" si="5"/>
        <v>PAN_Jayeshkumar Rambhai Patel</v>
      </c>
      <c r="D367" s="5" t="s">
        <v>522</v>
      </c>
      <c r="E367" s="5" t="s">
        <v>522</v>
      </c>
      <c r="F367" t="b">
        <v>1</v>
      </c>
      <c r="G367" s="5" t="s">
        <v>522</v>
      </c>
      <c r="H367" t="s">
        <v>523</v>
      </c>
      <c r="I367" t="b">
        <v>1</v>
      </c>
    </row>
    <row r="368" spans="1:9">
      <c r="A368" s="1" t="s">
        <v>400</v>
      </c>
      <c r="B368" t="s">
        <v>523</v>
      </c>
      <c r="C368" t="str">
        <f t="shared" si="5"/>
        <v>PAN_Shantibhai Prabhubhai Patel</v>
      </c>
      <c r="D368" s="5" t="s">
        <v>522</v>
      </c>
      <c r="E368" s="5" t="s">
        <v>522</v>
      </c>
      <c r="F368" t="b">
        <v>1</v>
      </c>
      <c r="G368" s="5" t="s">
        <v>522</v>
      </c>
      <c r="H368" t="s">
        <v>523</v>
      </c>
      <c r="I368" t="b">
        <v>1</v>
      </c>
    </row>
    <row r="369" spans="1:9">
      <c r="A369" s="1" t="s">
        <v>446</v>
      </c>
      <c r="B369" t="s">
        <v>523</v>
      </c>
      <c r="C369" t="str">
        <f t="shared" si="5"/>
        <v>PAN_Jayeshbhai A Patel</v>
      </c>
      <c r="D369" s="5" t="s">
        <v>522</v>
      </c>
      <c r="E369" s="5" t="s">
        <v>522</v>
      </c>
      <c r="F369" t="b">
        <v>1</v>
      </c>
      <c r="G369" s="5" t="s">
        <v>522</v>
      </c>
      <c r="H369" t="s">
        <v>523</v>
      </c>
      <c r="I369" t="b">
        <v>1</v>
      </c>
    </row>
    <row r="370" spans="1:9">
      <c r="A370" s="1" t="s">
        <v>434</v>
      </c>
      <c r="B370" t="s">
        <v>523</v>
      </c>
      <c r="C370" t="str">
        <f t="shared" si="5"/>
        <v>PAN_Mitesh Bhammar</v>
      </c>
      <c r="D370" s="5" t="s">
        <v>522</v>
      </c>
      <c r="E370" s="5" t="s">
        <v>522</v>
      </c>
      <c r="F370" t="b">
        <v>1</v>
      </c>
      <c r="G370" s="5" t="s">
        <v>522</v>
      </c>
      <c r="H370" t="s">
        <v>523</v>
      </c>
      <c r="I370" t="b">
        <v>1</v>
      </c>
    </row>
    <row r="371" spans="1:9">
      <c r="A371" s="1" t="s">
        <v>364</v>
      </c>
      <c r="B371" t="s">
        <v>523</v>
      </c>
      <c r="C371" t="str">
        <f t="shared" si="5"/>
        <v>PAN_Sapphire Software Solution</v>
      </c>
      <c r="D371" s="5" t="s">
        <v>522</v>
      </c>
      <c r="E371" s="5" t="s">
        <v>522</v>
      </c>
      <c r="F371" t="b">
        <v>1</v>
      </c>
      <c r="G371" s="5" t="s">
        <v>522</v>
      </c>
      <c r="H371" t="s">
        <v>523</v>
      </c>
      <c r="I371" t="b">
        <v>1</v>
      </c>
    </row>
    <row r="372" spans="1:9">
      <c r="A372" s="1" t="s">
        <v>167</v>
      </c>
      <c r="B372" t="s">
        <v>523</v>
      </c>
      <c r="C372" t="str">
        <f t="shared" si="5"/>
        <v>PAN_Uday Amin</v>
      </c>
      <c r="D372" s="5" t="s">
        <v>522</v>
      </c>
      <c r="E372" s="5" t="s">
        <v>522</v>
      </c>
      <c r="F372" t="b">
        <v>1</v>
      </c>
      <c r="G372" s="5" t="s">
        <v>522</v>
      </c>
      <c r="H372" t="s">
        <v>523</v>
      </c>
      <c r="I372" t="b">
        <v>1</v>
      </c>
    </row>
    <row r="373" spans="1:9">
      <c r="A373" s="1" t="s">
        <v>223</v>
      </c>
      <c r="B373" t="s">
        <v>523</v>
      </c>
      <c r="C373" t="str">
        <f t="shared" si="5"/>
        <v>PAN_Nimit Shukla</v>
      </c>
      <c r="D373" s="5" t="s">
        <v>522</v>
      </c>
      <c r="E373" s="5" t="s">
        <v>522</v>
      </c>
      <c r="F373" t="b">
        <v>1</v>
      </c>
      <c r="G373" s="5" t="s">
        <v>522</v>
      </c>
      <c r="H373" t="s">
        <v>523</v>
      </c>
      <c r="I373" t="b">
        <v>1</v>
      </c>
    </row>
    <row r="374" spans="1:9">
      <c r="A374" s="1" t="s">
        <v>127</v>
      </c>
      <c r="B374" t="s">
        <v>523</v>
      </c>
      <c r="C374" t="str">
        <f t="shared" si="5"/>
        <v>PAN_M_S.Desai &amp; Co. Proprietor Desai Nimbeshwar Gudadram</v>
      </c>
      <c r="D374" s="5" t="s">
        <v>522</v>
      </c>
      <c r="E374" s="5" t="s">
        <v>522</v>
      </c>
      <c r="F374" t="b">
        <v>1</v>
      </c>
      <c r="G374" s="5" t="s">
        <v>522</v>
      </c>
      <c r="H374" t="s">
        <v>523</v>
      </c>
      <c r="I374" t="b">
        <v>1</v>
      </c>
    </row>
    <row r="375" spans="1:9">
      <c r="A375" s="1" t="s">
        <v>279</v>
      </c>
      <c r="B375" t="s">
        <v>523</v>
      </c>
      <c r="C375" t="str">
        <f t="shared" si="5"/>
        <v>PAN_Somabhai Kuberbhai Prajapati</v>
      </c>
      <c r="D375" s="5" t="s">
        <v>522</v>
      </c>
      <c r="E375" s="5" t="s">
        <v>522</v>
      </c>
      <c r="F375" t="b">
        <v>1</v>
      </c>
      <c r="G375" s="5" t="s">
        <v>522</v>
      </c>
      <c r="H375" t="s">
        <v>523</v>
      </c>
      <c r="I375" t="b">
        <v>1</v>
      </c>
    </row>
    <row r="376" spans="1:9">
      <c r="A376" s="1" t="s">
        <v>378</v>
      </c>
      <c r="B376" t="s">
        <v>523</v>
      </c>
      <c r="C376" t="str">
        <f t="shared" si="5"/>
        <v>PAN_A. D. Patel</v>
      </c>
      <c r="D376" s="5" t="s">
        <v>522</v>
      </c>
      <c r="E376" s="5" t="s">
        <v>522</v>
      </c>
      <c r="F376" t="b">
        <v>1</v>
      </c>
      <c r="G376" s="5" t="s">
        <v>522</v>
      </c>
      <c r="H376" t="s">
        <v>523</v>
      </c>
      <c r="I376" t="b">
        <v>1</v>
      </c>
    </row>
    <row r="377" spans="1:9">
      <c r="A377" s="2" t="s">
        <v>440</v>
      </c>
      <c r="B377" t="s">
        <v>523</v>
      </c>
      <c r="C377" t="str">
        <f t="shared" si="5"/>
        <v>PAN_Viaan Solutions LLP</v>
      </c>
      <c r="D377" s="5" t="s">
        <v>522</v>
      </c>
      <c r="E377" s="5" t="s">
        <v>522</v>
      </c>
      <c r="F377" t="b">
        <v>1</v>
      </c>
      <c r="G377" s="5" t="s">
        <v>522</v>
      </c>
      <c r="H377" t="s">
        <v>523</v>
      </c>
      <c r="I377" t="b">
        <v>1</v>
      </c>
    </row>
    <row r="378" spans="1:9">
      <c r="A378" s="2" t="s">
        <v>24</v>
      </c>
      <c r="B378" t="s">
        <v>523</v>
      </c>
      <c r="C378" t="str">
        <f t="shared" si="5"/>
        <v xml:space="preserve">PAN_Tejas Manilal Patel </v>
      </c>
      <c r="D378" s="5" t="s">
        <v>522</v>
      </c>
      <c r="E378" s="5" t="s">
        <v>522</v>
      </c>
      <c r="F378" t="b">
        <v>1</v>
      </c>
      <c r="G378" s="5" t="s">
        <v>522</v>
      </c>
      <c r="H378" t="s">
        <v>523</v>
      </c>
      <c r="I378" t="b">
        <v>1</v>
      </c>
    </row>
    <row r="379" spans="1:9">
      <c r="A379" s="1" t="s">
        <v>305</v>
      </c>
      <c r="B379" t="s">
        <v>523</v>
      </c>
      <c r="C379" t="str">
        <f t="shared" si="5"/>
        <v>PAN_Uniza Healthcare LLP</v>
      </c>
      <c r="D379" s="5" t="s">
        <v>522</v>
      </c>
      <c r="E379" s="5" t="s">
        <v>522</v>
      </c>
      <c r="F379" t="b">
        <v>1</v>
      </c>
      <c r="G379" s="5" t="s">
        <v>522</v>
      </c>
      <c r="H379" t="s">
        <v>523</v>
      </c>
      <c r="I379" t="b">
        <v>1</v>
      </c>
    </row>
    <row r="380" spans="1:9">
      <c r="A380" s="1" t="s">
        <v>267</v>
      </c>
      <c r="B380" t="s">
        <v>523</v>
      </c>
      <c r="C380" t="str">
        <f t="shared" si="5"/>
        <v>PAN_Jagdishsinh Mansinh Rao</v>
      </c>
      <c r="D380" s="5" t="s">
        <v>522</v>
      </c>
      <c r="E380" s="5" t="s">
        <v>522</v>
      </c>
      <c r="F380" t="b">
        <v>1</v>
      </c>
      <c r="G380" s="5" t="s">
        <v>522</v>
      </c>
      <c r="H380" t="s">
        <v>523</v>
      </c>
      <c r="I380" t="b">
        <v>1</v>
      </c>
    </row>
    <row r="381" spans="1:9">
      <c r="A381" s="1" t="s">
        <v>356</v>
      </c>
      <c r="B381" t="s">
        <v>523</v>
      </c>
      <c r="C381" t="str">
        <f t="shared" si="5"/>
        <v>PAN_Arjun Sheth&amp;Associate</v>
      </c>
      <c r="D381" s="5" t="s">
        <v>522</v>
      </c>
      <c r="E381" s="5" t="s">
        <v>522</v>
      </c>
      <c r="F381" t="b">
        <v>1</v>
      </c>
      <c r="G381" s="5" t="s">
        <v>522</v>
      </c>
      <c r="H381" t="s">
        <v>523</v>
      </c>
      <c r="I381" t="b">
        <v>1</v>
      </c>
    </row>
    <row r="382" spans="1:9">
      <c r="A382" s="1" t="s">
        <v>197</v>
      </c>
      <c r="B382" t="s">
        <v>523</v>
      </c>
      <c r="C382" t="str">
        <f t="shared" si="5"/>
        <v>PAN_Ashlesha Mansukhbhai Patel</v>
      </c>
      <c r="D382" s="5" t="s">
        <v>522</v>
      </c>
      <c r="E382" s="5" t="s">
        <v>522</v>
      </c>
      <c r="F382" t="b">
        <v>1</v>
      </c>
      <c r="G382" s="5" t="s">
        <v>522</v>
      </c>
      <c r="H382" t="s">
        <v>523</v>
      </c>
      <c r="I382" t="b">
        <v>1</v>
      </c>
    </row>
    <row r="383" spans="1:9">
      <c r="A383" s="1" t="s">
        <v>209</v>
      </c>
      <c r="B383" t="s">
        <v>523</v>
      </c>
      <c r="C383" t="str">
        <f t="shared" si="5"/>
        <v>PAN_Sagarbhai R Desai</v>
      </c>
      <c r="D383" s="5" t="s">
        <v>522</v>
      </c>
      <c r="E383" s="5" t="s">
        <v>522</v>
      </c>
      <c r="F383" t="b">
        <v>1</v>
      </c>
      <c r="G383" s="5" t="s">
        <v>522</v>
      </c>
      <c r="H383" t="s">
        <v>523</v>
      </c>
      <c r="I383" t="b">
        <v>1</v>
      </c>
    </row>
    <row r="384" spans="1:9">
      <c r="A384" s="1" t="s">
        <v>38</v>
      </c>
      <c r="B384" t="s">
        <v>523</v>
      </c>
      <c r="C384" t="str">
        <f t="shared" si="5"/>
        <v>PAN_Shashikantbhai P Patel</v>
      </c>
      <c r="D384" s="5" t="s">
        <v>522</v>
      </c>
      <c r="E384" s="5" t="s">
        <v>522</v>
      </c>
      <c r="F384" t="b">
        <v>1</v>
      </c>
      <c r="G384" s="5" t="s">
        <v>522</v>
      </c>
      <c r="H384" t="s">
        <v>523</v>
      </c>
      <c r="I384" t="b">
        <v>1</v>
      </c>
    </row>
    <row r="385" spans="1:9">
      <c r="A385" s="1" t="s">
        <v>371</v>
      </c>
      <c r="B385" t="s">
        <v>523</v>
      </c>
      <c r="C385" t="str">
        <f t="shared" si="5"/>
        <v>PAN_Synbio Technova P. Ltd</v>
      </c>
      <c r="D385" s="5" t="s">
        <v>522</v>
      </c>
      <c r="E385" s="5" t="s">
        <v>522</v>
      </c>
      <c r="F385" t="b">
        <v>1</v>
      </c>
      <c r="G385" s="5" t="s">
        <v>522</v>
      </c>
      <c r="H385" t="s">
        <v>523</v>
      </c>
      <c r="I385" t="b">
        <v>1</v>
      </c>
    </row>
    <row r="386" spans="1:9">
      <c r="A386" s="1" t="s">
        <v>436</v>
      </c>
      <c r="B386" t="s">
        <v>523</v>
      </c>
      <c r="C386" t="str">
        <f t="shared" ref="C386:C449" si="6">B386&amp;"_"&amp;A386</f>
        <v>PAN_Qodic Technosoft LLP</v>
      </c>
      <c r="D386" s="5" t="s">
        <v>522</v>
      </c>
      <c r="E386" s="5" t="s">
        <v>522</v>
      </c>
      <c r="F386" t="b">
        <v>1</v>
      </c>
      <c r="G386" s="5" t="s">
        <v>522</v>
      </c>
      <c r="H386" t="s">
        <v>523</v>
      </c>
      <c r="I386" t="b">
        <v>1</v>
      </c>
    </row>
    <row r="387" spans="1:9">
      <c r="A387" s="1" t="s">
        <v>457</v>
      </c>
      <c r="B387" t="s">
        <v>523</v>
      </c>
      <c r="C387" t="str">
        <f t="shared" si="6"/>
        <v>PAN_BVC Logistic Pvt  Ltd</v>
      </c>
      <c r="D387" s="5" t="s">
        <v>522</v>
      </c>
      <c r="E387" s="5" t="s">
        <v>522</v>
      </c>
      <c r="F387" t="b">
        <v>1</v>
      </c>
      <c r="G387" s="5" t="s">
        <v>522</v>
      </c>
      <c r="H387" t="s">
        <v>523</v>
      </c>
      <c r="I387" t="b">
        <v>1</v>
      </c>
    </row>
    <row r="388" spans="1:9">
      <c r="A388" s="1" t="s">
        <v>291</v>
      </c>
      <c r="B388" t="s">
        <v>523</v>
      </c>
      <c r="C388" t="str">
        <f t="shared" si="6"/>
        <v>PAN_M_S.Shree Developers</v>
      </c>
      <c r="D388" s="5" t="s">
        <v>522</v>
      </c>
      <c r="E388" s="5" t="s">
        <v>522</v>
      </c>
      <c r="F388" t="b">
        <v>1</v>
      </c>
      <c r="G388" s="5" t="s">
        <v>522</v>
      </c>
      <c r="H388" t="s">
        <v>523</v>
      </c>
      <c r="I388" t="b">
        <v>1</v>
      </c>
    </row>
    <row r="389" spans="1:9">
      <c r="A389" s="1" t="s">
        <v>32</v>
      </c>
      <c r="B389" t="s">
        <v>523</v>
      </c>
      <c r="C389" t="str">
        <f t="shared" si="6"/>
        <v>PAN_Cengres Tiles Ltd.</v>
      </c>
      <c r="D389" s="5" t="s">
        <v>522</v>
      </c>
      <c r="E389" s="5" t="s">
        <v>522</v>
      </c>
      <c r="F389" t="b">
        <v>1</v>
      </c>
      <c r="G389" s="5" t="s">
        <v>522</v>
      </c>
      <c r="H389" t="s">
        <v>523</v>
      </c>
      <c r="I389" t="b">
        <v>1</v>
      </c>
    </row>
    <row r="390" spans="1:9">
      <c r="A390" s="1" t="s">
        <v>395</v>
      </c>
      <c r="B390" t="s">
        <v>523</v>
      </c>
      <c r="C390" t="str">
        <f t="shared" si="6"/>
        <v>PAN_Jagdishbhai Nathabhai Patel</v>
      </c>
      <c r="D390" s="5" t="s">
        <v>522</v>
      </c>
      <c r="E390" s="5" t="s">
        <v>522</v>
      </c>
      <c r="F390" t="b">
        <v>1</v>
      </c>
      <c r="G390" s="5" t="s">
        <v>522</v>
      </c>
      <c r="H390" t="s">
        <v>523</v>
      </c>
      <c r="I390" t="b">
        <v>1</v>
      </c>
    </row>
    <row r="391" spans="1:9">
      <c r="A391" s="1" t="s">
        <v>142</v>
      </c>
      <c r="B391" t="s">
        <v>523</v>
      </c>
      <c r="C391" t="str">
        <f t="shared" si="6"/>
        <v>PAN_B.K. Patel</v>
      </c>
      <c r="D391" s="5" t="s">
        <v>522</v>
      </c>
      <c r="E391" s="5" t="s">
        <v>522</v>
      </c>
      <c r="F391" t="b">
        <v>1</v>
      </c>
      <c r="G391" s="5" t="s">
        <v>522</v>
      </c>
      <c r="H391" t="s">
        <v>523</v>
      </c>
      <c r="I391" t="b">
        <v>1</v>
      </c>
    </row>
    <row r="392" spans="1:9">
      <c r="A392" s="1" t="s">
        <v>331</v>
      </c>
      <c r="B392" t="s">
        <v>523</v>
      </c>
      <c r="C392" t="str">
        <f t="shared" si="6"/>
        <v>PAN_Monil Hasmukhbhai Parikh</v>
      </c>
      <c r="D392" s="5" t="s">
        <v>522</v>
      </c>
      <c r="E392" s="5" t="s">
        <v>522</v>
      </c>
      <c r="F392" t="b">
        <v>1</v>
      </c>
      <c r="G392" s="5" t="s">
        <v>522</v>
      </c>
      <c r="H392" t="s">
        <v>523</v>
      </c>
      <c r="I392" t="b">
        <v>1</v>
      </c>
    </row>
    <row r="393" spans="1:9">
      <c r="A393" s="1" t="s">
        <v>382</v>
      </c>
      <c r="B393" t="s">
        <v>523</v>
      </c>
      <c r="C393" t="str">
        <f t="shared" si="6"/>
        <v>PAN_Ganpat University</v>
      </c>
      <c r="D393" s="5" t="s">
        <v>522</v>
      </c>
      <c r="E393" s="5" t="s">
        <v>522</v>
      </c>
      <c r="F393" t="b">
        <v>1</v>
      </c>
      <c r="G393" s="5" t="s">
        <v>522</v>
      </c>
      <c r="H393" t="s">
        <v>523</v>
      </c>
      <c r="I393" t="b">
        <v>1</v>
      </c>
    </row>
    <row r="394" spans="1:9">
      <c r="A394" s="1" t="s">
        <v>18</v>
      </c>
      <c r="B394" t="s">
        <v>523</v>
      </c>
      <c r="C394" t="str">
        <f t="shared" si="6"/>
        <v>PAN_Nayana Rajnikant Patel</v>
      </c>
      <c r="D394" s="5" t="s">
        <v>522</v>
      </c>
      <c r="E394" s="5" t="s">
        <v>522</v>
      </c>
      <c r="F394" t="b">
        <v>1</v>
      </c>
      <c r="G394" s="5" t="s">
        <v>522</v>
      </c>
      <c r="H394" t="s">
        <v>523</v>
      </c>
      <c r="I394" t="b">
        <v>1</v>
      </c>
    </row>
    <row r="395" spans="1:9">
      <c r="A395" s="1" t="s">
        <v>299</v>
      </c>
      <c r="B395" t="s">
        <v>523</v>
      </c>
      <c r="C395" t="str">
        <f t="shared" si="6"/>
        <v>PAN_Dhaval B Patel</v>
      </c>
      <c r="D395" s="5" t="s">
        <v>522</v>
      </c>
      <c r="E395" s="5" t="s">
        <v>522</v>
      </c>
      <c r="F395" t="b">
        <v>1</v>
      </c>
      <c r="G395" s="5" t="s">
        <v>522</v>
      </c>
      <c r="H395" t="s">
        <v>523</v>
      </c>
      <c r="I395" t="b">
        <v>1</v>
      </c>
    </row>
    <row r="396" spans="1:9">
      <c r="A396" s="1" t="s">
        <v>30</v>
      </c>
      <c r="B396" t="s">
        <v>523</v>
      </c>
      <c r="C396" t="str">
        <f t="shared" si="6"/>
        <v>PAN_Avadhoot Project Pvt Ltd</v>
      </c>
      <c r="D396" s="5" t="s">
        <v>522</v>
      </c>
      <c r="E396" s="5" t="s">
        <v>522</v>
      </c>
      <c r="F396" t="b">
        <v>1</v>
      </c>
      <c r="G396" s="5" t="s">
        <v>522</v>
      </c>
      <c r="H396" t="s">
        <v>523</v>
      </c>
      <c r="I396" t="b">
        <v>1</v>
      </c>
    </row>
    <row r="397" spans="1:9">
      <c r="A397" s="1" t="s">
        <v>424</v>
      </c>
      <c r="B397" t="s">
        <v>523</v>
      </c>
      <c r="C397" t="str">
        <f t="shared" si="6"/>
        <v>PAN_Patel Lalitaben Pankajbhai</v>
      </c>
      <c r="D397" s="5" t="s">
        <v>522</v>
      </c>
      <c r="E397" s="5" t="s">
        <v>522</v>
      </c>
      <c r="F397" t="b">
        <v>1</v>
      </c>
      <c r="G397" s="5" t="s">
        <v>522</v>
      </c>
      <c r="H397" t="s">
        <v>523</v>
      </c>
      <c r="I397" t="b">
        <v>1</v>
      </c>
    </row>
    <row r="398" spans="1:9">
      <c r="A398" s="1" t="s">
        <v>340</v>
      </c>
      <c r="B398" t="s">
        <v>523</v>
      </c>
      <c r="C398" t="str">
        <f t="shared" si="6"/>
        <v>PAN_Rajesh D Shah</v>
      </c>
      <c r="D398" s="5" t="s">
        <v>522</v>
      </c>
      <c r="E398" s="5" t="s">
        <v>522</v>
      </c>
      <c r="F398" t="b">
        <v>1</v>
      </c>
      <c r="G398" s="5" t="s">
        <v>522</v>
      </c>
      <c r="H398" t="s">
        <v>523</v>
      </c>
      <c r="I398" t="b">
        <v>1</v>
      </c>
    </row>
    <row r="399" spans="1:9">
      <c r="A399" s="1" t="s">
        <v>121</v>
      </c>
      <c r="B399" t="s">
        <v>523</v>
      </c>
      <c r="C399" t="str">
        <f t="shared" si="6"/>
        <v>PAN_Ansi Bytecode LLP</v>
      </c>
      <c r="D399" s="5" t="s">
        <v>522</v>
      </c>
      <c r="E399" s="5" t="s">
        <v>522</v>
      </c>
      <c r="F399" t="b">
        <v>1</v>
      </c>
      <c r="G399" s="5" t="s">
        <v>522</v>
      </c>
      <c r="H399" t="s">
        <v>523</v>
      </c>
      <c r="I399" t="b">
        <v>1</v>
      </c>
    </row>
    <row r="400" spans="1:9">
      <c r="A400" s="1" t="s">
        <v>28</v>
      </c>
      <c r="B400" t="s">
        <v>523</v>
      </c>
      <c r="C400" t="str">
        <f t="shared" si="6"/>
        <v>PAN_Kapilaben Shakarabhai Patel</v>
      </c>
      <c r="D400" s="5" t="s">
        <v>522</v>
      </c>
      <c r="E400" s="5" t="s">
        <v>522</v>
      </c>
      <c r="F400" t="b">
        <v>1</v>
      </c>
      <c r="G400" s="5" t="s">
        <v>522</v>
      </c>
      <c r="H400" t="s">
        <v>523</v>
      </c>
      <c r="I400" t="b">
        <v>1</v>
      </c>
    </row>
    <row r="401" spans="1:9">
      <c r="A401" s="1" t="s">
        <v>119</v>
      </c>
      <c r="B401" t="s">
        <v>523</v>
      </c>
      <c r="C401" t="str">
        <f t="shared" si="6"/>
        <v>PAN_Avisha Technologies</v>
      </c>
      <c r="D401" s="5" t="s">
        <v>522</v>
      </c>
      <c r="E401" s="5" t="s">
        <v>522</v>
      </c>
      <c r="F401" t="b">
        <v>1</v>
      </c>
      <c r="G401" s="5" t="s">
        <v>522</v>
      </c>
      <c r="H401" t="s">
        <v>523</v>
      </c>
      <c r="I401" t="b">
        <v>1</v>
      </c>
    </row>
    <row r="402" spans="1:9">
      <c r="A402" s="1" t="s">
        <v>181</v>
      </c>
      <c r="B402" t="s">
        <v>523</v>
      </c>
      <c r="C402" t="str">
        <f t="shared" si="6"/>
        <v>PAN_Rajendra R Shukla</v>
      </c>
      <c r="D402" s="5" t="s">
        <v>522</v>
      </c>
      <c r="E402" s="5" t="s">
        <v>522</v>
      </c>
      <c r="F402" t="b">
        <v>1</v>
      </c>
      <c r="G402" s="5" t="s">
        <v>522</v>
      </c>
      <c r="H402" t="s">
        <v>523</v>
      </c>
      <c r="I402" t="b">
        <v>1</v>
      </c>
    </row>
    <row r="403" spans="1:9">
      <c r="A403" s="1" t="s">
        <v>26</v>
      </c>
      <c r="B403" t="s">
        <v>523</v>
      </c>
      <c r="C403" t="str">
        <f t="shared" si="6"/>
        <v>PAN_Laxmiben Shantilal Shah</v>
      </c>
      <c r="D403" s="5" t="s">
        <v>522</v>
      </c>
      <c r="E403" s="5" t="s">
        <v>522</v>
      </c>
      <c r="F403" t="b">
        <v>1</v>
      </c>
      <c r="G403" s="5" t="s">
        <v>522</v>
      </c>
      <c r="H403" t="s">
        <v>523</v>
      </c>
      <c r="I403" t="b">
        <v>1</v>
      </c>
    </row>
    <row r="404" spans="1:9">
      <c r="A404" s="1" t="s">
        <v>135</v>
      </c>
      <c r="B404" t="s">
        <v>523</v>
      </c>
      <c r="C404" t="str">
        <f t="shared" si="6"/>
        <v xml:space="preserve">PAN_Mr. Ravjibhai Nagarbhai patel </v>
      </c>
      <c r="D404" s="5" t="s">
        <v>522</v>
      </c>
      <c r="E404" s="5" t="s">
        <v>522</v>
      </c>
      <c r="F404" t="b">
        <v>1</v>
      </c>
      <c r="G404" s="5" t="s">
        <v>522</v>
      </c>
      <c r="H404" t="s">
        <v>523</v>
      </c>
      <c r="I404" t="b">
        <v>1</v>
      </c>
    </row>
    <row r="405" spans="1:9">
      <c r="A405" s="1" t="s">
        <v>193</v>
      </c>
      <c r="B405" t="s">
        <v>523</v>
      </c>
      <c r="C405" t="str">
        <f t="shared" si="6"/>
        <v>PAN_Balark Chemicals</v>
      </c>
      <c r="D405" s="5" t="s">
        <v>522</v>
      </c>
      <c r="E405" s="5" t="s">
        <v>522</v>
      </c>
      <c r="F405" t="b">
        <v>1</v>
      </c>
      <c r="G405" s="5" t="s">
        <v>522</v>
      </c>
      <c r="H405" t="s">
        <v>523</v>
      </c>
      <c r="I405" t="b">
        <v>1</v>
      </c>
    </row>
    <row r="406" spans="1:9">
      <c r="A406" s="1" t="s">
        <v>358</v>
      </c>
      <c r="B406" t="s">
        <v>523</v>
      </c>
      <c r="C406" t="str">
        <f t="shared" si="6"/>
        <v>PAN_Moon Technolabs</v>
      </c>
      <c r="D406" s="5" t="s">
        <v>522</v>
      </c>
      <c r="E406" s="5" t="s">
        <v>522</v>
      </c>
      <c r="F406" t="b">
        <v>1</v>
      </c>
      <c r="G406" s="5" t="s">
        <v>522</v>
      </c>
      <c r="H406" t="s">
        <v>523</v>
      </c>
      <c r="I406" t="b">
        <v>1</v>
      </c>
    </row>
    <row r="407" spans="1:9">
      <c r="A407" s="1" t="s">
        <v>327</v>
      </c>
      <c r="B407" t="s">
        <v>523</v>
      </c>
      <c r="C407" t="str">
        <f t="shared" si="6"/>
        <v xml:space="preserve">PAN_Mukeshbhai K Patel </v>
      </c>
      <c r="D407" s="5" t="s">
        <v>522</v>
      </c>
      <c r="E407" s="5" t="s">
        <v>522</v>
      </c>
      <c r="F407" t="b">
        <v>1</v>
      </c>
      <c r="G407" s="5" t="s">
        <v>522</v>
      </c>
      <c r="H407" t="s">
        <v>523</v>
      </c>
      <c r="I407" t="b">
        <v>1</v>
      </c>
    </row>
    <row r="408" spans="1:9">
      <c r="A408" s="1" t="s">
        <v>34</v>
      </c>
      <c r="B408" t="s">
        <v>523</v>
      </c>
      <c r="C408" t="str">
        <f t="shared" si="6"/>
        <v>PAN_Vishwas Cafeteria</v>
      </c>
      <c r="D408" s="5" t="s">
        <v>522</v>
      </c>
      <c r="E408" s="5" t="s">
        <v>522</v>
      </c>
      <c r="F408" t="b">
        <v>1</v>
      </c>
      <c r="G408" s="5" t="s">
        <v>522</v>
      </c>
      <c r="H408" t="s">
        <v>523</v>
      </c>
      <c r="I408" t="b">
        <v>1</v>
      </c>
    </row>
    <row r="409" spans="1:9">
      <c r="A409" s="1" t="s">
        <v>6</v>
      </c>
      <c r="B409" t="s">
        <v>523</v>
      </c>
      <c r="C409" t="str">
        <f t="shared" si="6"/>
        <v>PAN_Shree Siddhi Infrabuild Pvt Ltd</v>
      </c>
      <c r="D409" s="5" t="s">
        <v>522</v>
      </c>
      <c r="E409" s="5" t="s">
        <v>522</v>
      </c>
      <c r="F409" t="b">
        <v>1</v>
      </c>
      <c r="G409" s="5" t="s">
        <v>522</v>
      </c>
      <c r="H409" t="s">
        <v>523</v>
      </c>
      <c r="I409" t="b">
        <v>1</v>
      </c>
    </row>
    <row r="410" spans="1:9">
      <c r="A410" s="1" t="s">
        <v>217</v>
      </c>
      <c r="B410" t="s">
        <v>523</v>
      </c>
      <c r="C410" t="str">
        <f t="shared" si="6"/>
        <v>PAN_Manj &amp; Associates</v>
      </c>
      <c r="D410" s="5" t="s">
        <v>522</v>
      </c>
      <c r="E410" s="5" t="s">
        <v>522</v>
      </c>
      <c r="F410" t="b">
        <v>1</v>
      </c>
      <c r="G410" s="5" t="s">
        <v>522</v>
      </c>
      <c r="H410" t="s">
        <v>523</v>
      </c>
      <c r="I410" t="b">
        <v>1</v>
      </c>
    </row>
    <row r="411" spans="1:9">
      <c r="A411" s="1" t="s">
        <v>42</v>
      </c>
      <c r="B411" t="s">
        <v>523</v>
      </c>
      <c r="C411" t="str">
        <f t="shared" si="6"/>
        <v>PAN_Samir B Dalal</v>
      </c>
      <c r="D411" s="5" t="s">
        <v>522</v>
      </c>
      <c r="E411" s="5" t="s">
        <v>522</v>
      </c>
      <c r="F411" t="b">
        <v>1</v>
      </c>
      <c r="G411" s="5" t="s">
        <v>522</v>
      </c>
      <c r="H411" t="s">
        <v>523</v>
      </c>
      <c r="I411" t="b">
        <v>1</v>
      </c>
    </row>
    <row r="412" spans="1:9">
      <c r="A412" s="1" t="s">
        <v>297</v>
      </c>
      <c r="B412" t="s">
        <v>523</v>
      </c>
      <c r="C412" t="str">
        <f t="shared" si="6"/>
        <v>PAN_Harnil Oza</v>
      </c>
      <c r="D412" s="5" t="s">
        <v>522</v>
      </c>
      <c r="E412" s="5" t="s">
        <v>522</v>
      </c>
      <c r="F412" t="b">
        <v>1</v>
      </c>
      <c r="G412" s="5" t="s">
        <v>522</v>
      </c>
      <c r="H412" t="s">
        <v>523</v>
      </c>
      <c r="I412" t="b">
        <v>1</v>
      </c>
    </row>
    <row r="413" spans="1:9">
      <c r="A413" s="1" t="s">
        <v>281</v>
      </c>
      <c r="B413" t="s">
        <v>523</v>
      </c>
      <c r="C413" t="str">
        <f t="shared" si="6"/>
        <v>PAN_Manjula M Jaiswal</v>
      </c>
      <c r="D413" s="5" t="s">
        <v>522</v>
      </c>
      <c r="E413" s="5" t="s">
        <v>522</v>
      </c>
      <c r="F413" t="b">
        <v>1</v>
      </c>
      <c r="G413" s="5" t="s">
        <v>522</v>
      </c>
      <c r="H413" t="s">
        <v>523</v>
      </c>
      <c r="I413" t="b">
        <v>1</v>
      </c>
    </row>
    <row r="414" spans="1:9">
      <c r="A414" s="1" t="s">
        <v>410</v>
      </c>
      <c r="B414" t="s">
        <v>523</v>
      </c>
      <c r="C414" t="str">
        <f t="shared" si="6"/>
        <v>PAN_Gujarat Apollo Industries Ltd</v>
      </c>
      <c r="D414" s="5" t="s">
        <v>522</v>
      </c>
      <c r="E414" s="5" t="s">
        <v>522</v>
      </c>
      <c r="F414" t="b">
        <v>1</v>
      </c>
      <c r="G414" s="5" t="s">
        <v>522</v>
      </c>
      <c r="H414" t="s">
        <v>523</v>
      </c>
      <c r="I414" t="b">
        <v>1</v>
      </c>
    </row>
    <row r="415" spans="1:9">
      <c r="A415" s="1" t="s">
        <v>152</v>
      </c>
      <c r="B415" t="s">
        <v>523</v>
      </c>
      <c r="C415" t="str">
        <f t="shared" si="6"/>
        <v>PAN_Kishor P Sompura</v>
      </c>
      <c r="D415" s="5" t="s">
        <v>522</v>
      </c>
      <c r="E415" s="5" t="s">
        <v>522</v>
      </c>
      <c r="F415" t="b">
        <v>1</v>
      </c>
      <c r="G415" s="5" t="s">
        <v>522</v>
      </c>
      <c r="H415" t="s">
        <v>523</v>
      </c>
      <c r="I415" t="b">
        <v>1</v>
      </c>
    </row>
    <row r="416" spans="1:9">
      <c r="A416" s="1" t="s">
        <v>346</v>
      </c>
      <c r="B416" t="s">
        <v>523</v>
      </c>
      <c r="C416" t="str">
        <f t="shared" si="6"/>
        <v>PAN_Maheshwari Sales Corp</v>
      </c>
      <c r="D416" s="5" t="s">
        <v>522</v>
      </c>
      <c r="E416" s="5" t="s">
        <v>522</v>
      </c>
      <c r="F416" t="b">
        <v>1</v>
      </c>
      <c r="G416" s="5" t="s">
        <v>522</v>
      </c>
      <c r="H416" t="s">
        <v>523</v>
      </c>
      <c r="I416" t="b">
        <v>1</v>
      </c>
    </row>
    <row r="417" spans="1:9">
      <c r="A417" s="1" t="s">
        <v>171</v>
      </c>
      <c r="B417" t="s">
        <v>523</v>
      </c>
      <c r="C417" t="str">
        <f t="shared" si="6"/>
        <v>PAN_Palval Hair Transplant Clinic</v>
      </c>
      <c r="D417" s="5" t="s">
        <v>522</v>
      </c>
      <c r="E417" s="5" t="s">
        <v>522</v>
      </c>
      <c r="F417" t="b">
        <v>1</v>
      </c>
      <c r="G417" s="5" t="s">
        <v>522</v>
      </c>
      <c r="H417" t="s">
        <v>523</v>
      </c>
      <c r="I417" t="b">
        <v>1</v>
      </c>
    </row>
    <row r="418" spans="1:9">
      <c r="A418" s="1" t="s">
        <v>12</v>
      </c>
      <c r="B418" t="s">
        <v>523</v>
      </c>
      <c r="C418" t="str">
        <f t="shared" si="6"/>
        <v>PAN_Akik Tiles Ltd.</v>
      </c>
      <c r="D418" s="5" t="s">
        <v>522</v>
      </c>
      <c r="E418" s="5" t="s">
        <v>522</v>
      </c>
      <c r="F418" t="b">
        <v>1</v>
      </c>
      <c r="G418" s="5" t="s">
        <v>522</v>
      </c>
      <c r="H418" t="s">
        <v>523</v>
      </c>
      <c r="I418" t="b">
        <v>1</v>
      </c>
    </row>
    <row r="419" spans="1:9">
      <c r="A419" s="1" t="s">
        <v>319</v>
      </c>
      <c r="B419" t="s">
        <v>523</v>
      </c>
      <c r="C419" t="str">
        <f t="shared" si="6"/>
        <v>PAN_Harnil Bhargav Oza</v>
      </c>
      <c r="D419" s="5" t="s">
        <v>522</v>
      </c>
      <c r="E419" s="5" t="s">
        <v>522</v>
      </c>
      <c r="F419" t="b">
        <v>1</v>
      </c>
      <c r="G419" s="5" t="s">
        <v>522</v>
      </c>
      <c r="H419" t="s">
        <v>523</v>
      </c>
      <c r="I419" t="b">
        <v>1</v>
      </c>
    </row>
    <row r="420" spans="1:9">
      <c r="A420" s="1" t="s">
        <v>211</v>
      </c>
      <c r="B420" t="s">
        <v>523</v>
      </c>
      <c r="C420" t="str">
        <f t="shared" si="6"/>
        <v>PAN_Solderma Pharma</v>
      </c>
      <c r="D420" s="5" t="s">
        <v>522</v>
      </c>
      <c r="E420" s="5" t="s">
        <v>522</v>
      </c>
      <c r="F420" t="b">
        <v>1</v>
      </c>
      <c r="G420" s="5" t="s">
        <v>522</v>
      </c>
      <c r="H420" t="s">
        <v>523</v>
      </c>
      <c r="I420" t="b">
        <v>1</v>
      </c>
    </row>
    <row r="421" spans="1:9">
      <c r="A421" s="1" t="s">
        <v>185</v>
      </c>
      <c r="B421" t="s">
        <v>523</v>
      </c>
      <c r="C421" t="str">
        <f t="shared" si="6"/>
        <v>PAN_Bharat Pesticides Industries Pv</v>
      </c>
      <c r="D421" s="5" t="s">
        <v>522</v>
      </c>
      <c r="E421" s="5" t="s">
        <v>522</v>
      </c>
      <c r="F421" t="b">
        <v>1</v>
      </c>
      <c r="G421" s="5" t="s">
        <v>522</v>
      </c>
      <c r="H421" t="s">
        <v>523</v>
      </c>
      <c r="I421" t="b">
        <v>1</v>
      </c>
    </row>
    <row r="422" spans="1:9">
      <c r="A422" s="1" t="s">
        <v>444</v>
      </c>
      <c r="B422" t="s">
        <v>523</v>
      </c>
      <c r="C422" t="str">
        <f t="shared" si="6"/>
        <v>PAN_Letsnurture Infotech Pvt Ltd</v>
      </c>
      <c r="D422" s="5" t="s">
        <v>522</v>
      </c>
      <c r="E422" s="5" t="s">
        <v>522</v>
      </c>
      <c r="F422" t="b">
        <v>1</v>
      </c>
      <c r="G422" s="5" t="s">
        <v>522</v>
      </c>
      <c r="H422" t="s">
        <v>523</v>
      </c>
      <c r="I422" t="b">
        <v>1</v>
      </c>
    </row>
    <row r="423" spans="1:9">
      <c r="A423" s="1" t="s">
        <v>16</v>
      </c>
      <c r="B423" t="s">
        <v>523</v>
      </c>
      <c r="C423" t="str">
        <f t="shared" si="6"/>
        <v>PAN_Astron Paper&amp;Board Ltd</v>
      </c>
      <c r="D423" s="5" t="s">
        <v>522</v>
      </c>
      <c r="E423" s="5" t="s">
        <v>522</v>
      </c>
      <c r="F423" t="b">
        <v>1</v>
      </c>
      <c r="G423" s="5" t="s">
        <v>522</v>
      </c>
      <c r="H423" t="s">
        <v>523</v>
      </c>
      <c r="I423" t="b">
        <v>1</v>
      </c>
    </row>
    <row r="424" spans="1:9">
      <c r="A424" s="1" t="s">
        <v>201</v>
      </c>
      <c r="B424" t="s">
        <v>523</v>
      </c>
      <c r="C424" t="str">
        <f t="shared" si="6"/>
        <v>PAN_Mukeshbhai Panchal</v>
      </c>
      <c r="D424" s="5" t="s">
        <v>522</v>
      </c>
      <c r="E424" s="5" t="s">
        <v>522</v>
      </c>
      <c r="F424" t="b">
        <v>1</v>
      </c>
      <c r="G424" s="5" t="s">
        <v>522</v>
      </c>
      <c r="H424" t="s">
        <v>523</v>
      </c>
      <c r="I424" t="b">
        <v>1</v>
      </c>
    </row>
    <row r="425" spans="1:9">
      <c r="A425" s="1" t="s">
        <v>428</v>
      </c>
      <c r="B425" t="s">
        <v>523</v>
      </c>
      <c r="C425" t="str">
        <f t="shared" si="6"/>
        <v>PAN_Daksaben Sureshbhai Prajapati</v>
      </c>
      <c r="D425" s="5" t="s">
        <v>522</v>
      </c>
      <c r="E425" s="5" t="s">
        <v>522</v>
      </c>
      <c r="F425" t="b">
        <v>1</v>
      </c>
      <c r="G425" s="5" t="s">
        <v>522</v>
      </c>
      <c r="H425" t="s">
        <v>523</v>
      </c>
      <c r="I425" t="b">
        <v>1</v>
      </c>
    </row>
    <row r="426" spans="1:9">
      <c r="A426" s="1" t="s">
        <v>448</v>
      </c>
      <c r="B426" t="s">
        <v>523</v>
      </c>
      <c r="C426" t="str">
        <f t="shared" si="6"/>
        <v xml:space="preserve">PAN_Gauravkumar D Patel </v>
      </c>
      <c r="D426" s="5" t="s">
        <v>522</v>
      </c>
      <c r="E426" s="5" t="s">
        <v>522</v>
      </c>
      <c r="F426" t="b">
        <v>1</v>
      </c>
      <c r="G426" s="5" t="s">
        <v>522</v>
      </c>
      <c r="H426" t="s">
        <v>523</v>
      </c>
      <c r="I426" t="b">
        <v>1</v>
      </c>
    </row>
    <row r="427" spans="1:9">
      <c r="A427" s="1" t="s">
        <v>158</v>
      </c>
      <c r="B427" t="s">
        <v>523</v>
      </c>
      <c r="C427" t="str">
        <f t="shared" si="6"/>
        <v>PAN_Niral Rashmikant Mehta</v>
      </c>
      <c r="D427" s="5" t="s">
        <v>522</v>
      </c>
      <c r="E427" s="5" t="s">
        <v>522</v>
      </c>
      <c r="F427" t="b">
        <v>1</v>
      </c>
      <c r="G427" s="5" t="s">
        <v>522</v>
      </c>
      <c r="H427" t="s">
        <v>523</v>
      </c>
      <c r="I427" t="b">
        <v>1</v>
      </c>
    </row>
    <row r="428" spans="1:9">
      <c r="A428" s="1" t="s">
        <v>273</v>
      </c>
      <c r="B428" t="s">
        <v>523</v>
      </c>
      <c r="C428" t="str">
        <f t="shared" si="6"/>
        <v>PAN_Shreemali Daxaben Maheshbhai</v>
      </c>
      <c r="D428" s="5" t="s">
        <v>522</v>
      </c>
      <c r="E428" s="5" t="s">
        <v>522</v>
      </c>
      <c r="F428" t="b">
        <v>1</v>
      </c>
      <c r="G428" s="5" t="s">
        <v>522</v>
      </c>
      <c r="H428" t="s">
        <v>523</v>
      </c>
      <c r="I428" t="b">
        <v>1</v>
      </c>
    </row>
    <row r="429" spans="1:9">
      <c r="A429" s="1" t="s">
        <v>242</v>
      </c>
      <c r="B429" t="s">
        <v>523</v>
      </c>
      <c r="C429" t="str">
        <f t="shared" si="6"/>
        <v>PAN_Nareshbhai Dahyabhai Patel</v>
      </c>
      <c r="D429" s="5" t="s">
        <v>522</v>
      </c>
      <c r="E429" s="5" t="s">
        <v>522</v>
      </c>
      <c r="F429" t="b">
        <v>1</v>
      </c>
      <c r="G429" s="5" t="s">
        <v>522</v>
      </c>
      <c r="H429" t="s">
        <v>523</v>
      </c>
      <c r="I429" t="b">
        <v>1</v>
      </c>
    </row>
    <row r="430" spans="1:9">
      <c r="A430" s="2" t="s">
        <v>20</v>
      </c>
      <c r="B430" t="s">
        <v>523</v>
      </c>
      <c r="C430" t="str">
        <f t="shared" si="6"/>
        <v>PAN_Jitendra B Patel</v>
      </c>
      <c r="D430" s="5" t="s">
        <v>522</v>
      </c>
      <c r="E430" s="5" t="s">
        <v>522</v>
      </c>
      <c r="F430" t="b">
        <v>1</v>
      </c>
      <c r="G430" s="5" t="s">
        <v>522</v>
      </c>
      <c r="H430" t="s">
        <v>523</v>
      </c>
      <c r="I430" t="b">
        <v>1</v>
      </c>
    </row>
    <row r="431" spans="1:9">
      <c r="A431" s="2" t="s">
        <v>148</v>
      </c>
      <c r="B431" t="s">
        <v>523</v>
      </c>
      <c r="C431" t="str">
        <f t="shared" si="6"/>
        <v>PAN_Nathalal Babulal Jani</v>
      </c>
      <c r="D431" s="5" t="s">
        <v>522</v>
      </c>
      <c r="E431" s="5" t="s">
        <v>522</v>
      </c>
      <c r="F431" t="b">
        <v>1</v>
      </c>
      <c r="G431" s="5" t="s">
        <v>522</v>
      </c>
      <c r="H431" t="s">
        <v>523</v>
      </c>
      <c r="I431" t="b">
        <v>1</v>
      </c>
    </row>
    <row r="432" spans="1:9">
      <c r="A432" s="1" t="s">
        <v>250</v>
      </c>
      <c r="B432" t="s">
        <v>523</v>
      </c>
      <c r="C432" t="str">
        <f t="shared" si="6"/>
        <v>PAN_Harshaben Mineshbhai Solanki</v>
      </c>
      <c r="D432" s="5" t="s">
        <v>522</v>
      </c>
      <c r="E432" s="5" t="s">
        <v>522</v>
      </c>
      <c r="F432" t="b">
        <v>1</v>
      </c>
      <c r="G432" s="5" t="s">
        <v>522</v>
      </c>
      <c r="H432" t="s">
        <v>523</v>
      </c>
      <c r="I432" t="b">
        <v>1</v>
      </c>
    </row>
    <row r="433" spans="1:9">
      <c r="A433" s="1" t="s">
        <v>366</v>
      </c>
      <c r="B433" t="s">
        <v>523</v>
      </c>
      <c r="C433" t="str">
        <f t="shared" si="6"/>
        <v>PAN_Shweta Suha</v>
      </c>
      <c r="D433" s="5" t="s">
        <v>522</v>
      </c>
      <c r="E433" s="5" t="s">
        <v>522</v>
      </c>
      <c r="F433" t="b">
        <v>1</v>
      </c>
      <c r="G433" s="5" t="s">
        <v>522</v>
      </c>
      <c r="H433" t="s">
        <v>523</v>
      </c>
      <c r="I433" t="b">
        <v>1</v>
      </c>
    </row>
    <row r="434" spans="1:9">
      <c r="A434" s="1" t="s">
        <v>233</v>
      </c>
      <c r="B434" t="s">
        <v>523</v>
      </c>
      <c r="C434" t="str">
        <f t="shared" si="6"/>
        <v xml:space="preserve">PAN_Tribhovanbhai R Patel </v>
      </c>
      <c r="D434" s="5" t="s">
        <v>522</v>
      </c>
      <c r="E434" s="5" t="s">
        <v>522</v>
      </c>
      <c r="F434" t="b">
        <v>1</v>
      </c>
      <c r="G434" s="5" t="s">
        <v>522</v>
      </c>
      <c r="H434" t="s">
        <v>523</v>
      </c>
      <c r="I434" t="b">
        <v>1</v>
      </c>
    </row>
    <row r="435" spans="1:9">
      <c r="A435" s="1" t="s">
        <v>156</v>
      </c>
      <c r="B435" t="s">
        <v>523</v>
      </c>
      <c r="C435" t="str">
        <f t="shared" si="6"/>
        <v>PAN_Mamtadevi Shreykumar Dugar</v>
      </c>
      <c r="D435" s="5" t="s">
        <v>522</v>
      </c>
      <c r="E435" s="5" t="s">
        <v>522</v>
      </c>
      <c r="F435" t="b">
        <v>1</v>
      </c>
      <c r="G435" s="5" t="s">
        <v>522</v>
      </c>
      <c r="H435" t="s">
        <v>523</v>
      </c>
      <c r="I435" t="b">
        <v>1</v>
      </c>
    </row>
    <row r="436" spans="1:9">
      <c r="A436" s="1" t="s">
        <v>463</v>
      </c>
      <c r="B436" t="s">
        <v>523</v>
      </c>
      <c r="C436" t="str">
        <f t="shared" si="6"/>
        <v>PAN_Gujarat First</v>
      </c>
      <c r="D436" s="5" t="s">
        <v>522</v>
      </c>
      <c r="E436" s="5" t="s">
        <v>522</v>
      </c>
      <c r="F436" t="b">
        <v>1</v>
      </c>
      <c r="G436" s="5" t="s">
        <v>522</v>
      </c>
      <c r="H436" t="s">
        <v>523</v>
      </c>
      <c r="I436" t="b">
        <v>1</v>
      </c>
    </row>
    <row r="437" spans="1:9">
      <c r="A437" s="1" t="s">
        <v>420</v>
      </c>
      <c r="B437" t="s">
        <v>523</v>
      </c>
      <c r="C437" t="str">
        <f t="shared" si="6"/>
        <v>PAN_Chetan Control System</v>
      </c>
      <c r="D437" s="5" t="s">
        <v>522</v>
      </c>
      <c r="E437" s="5" t="s">
        <v>522</v>
      </c>
      <c r="F437" t="b">
        <v>1</v>
      </c>
      <c r="G437" s="5" t="s">
        <v>522</v>
      </c>
      <c r="H437" t="s">
        <v>523</v>
      </c>
      <c r="I437" t="b">
        <v>1</v>
      </c>
    </row>
    <row r="438" spans="1:9">
      <c r="A438" s="1" t="s">
        <v>1</v>
      </c>
      <c r="B438" t="s">
        <v>523</v>
      </c>
      <c r="C438" t="str">
        <f t="shared" si="6"/>
        <v>PAN_Mitul Tradelink Pvt Ltd</v>
      </c>
      <c r="D438" s="5" t="s">
        <v>522</v>
      </c>
      <c r="E438" s="5" t="s">
        <v>522</v>
      </c>
      <c r="F438" t="b">
        <v>1</v>
      </c>
      <c r="G438" s="5" t="s">
        <v>522</v>
      </c>
      <c r="H438" t="s">
        <v>523</v>
      </c>
      <c r="I438" t="b">
        <v>1</v>
      </c>
    </row>
    <row r="439" spans="1:9">
      <c r="A439" s="1" t="s">
        <v>10</v>
      </c>
      <c r="B439" t="s">
        <v>523</v>
      </c>
      <c r="C439" t="str">
        <f t="shared" si="6"/>
        <v>PAN_Maheshbhai Nayak</v>
      </c>
      <c r="D439" s="5" t="s">
        <v>522</v>
      </c>
      <c r="E439" s="5" t="s">
        <v>522</v>
      </c>
      <c r="F439" t="b">
        <v>1</v>
      </c>
      <c r="G439" s="5" t="s">
        <v>522</v>
      </c>
      <c r="H439" t="s">
        <v>523</v>
      </c>
      <c r="I439" t="b">
        <v>1</v>
      </c>
    </row>
    <row r="440" spans="1:9">
      <c r="A440" s="1" t="s">
        <v>321</v>
      </c>
      <c r="B440" t="s">
        <v>523</v>
      </c>
      <c r="C440" t="str">
        <f t="shared" si="6"/>
        <v>PAN_MellAdmin Consultancy Pvt Ltd</v>
      </c>
      <c r="D440" s="5" t="s">
        <v>522</v>
      </c>
      <c r="E440" s="5" t="s">
        <v>522</v>
      </c>
      <c r="F440" t="b">
        <v>1</v>
      </c>
      <c r="G440" s="5" t="s">
        <v>522</v>
      </c>
      <c r="H440" t="s">
        <v>523</v>
      </c>
      <c r="I440" t="b">
        <v>1</v>
      </c>
    </row>
    <row r="441" spans="1:9">
      <c r="A441" s="1" t="s">
        <v>285</v>
      </c>
      <c r="B441" t="s">
        <v>523</v>
      </c>
      <c r="C441" t="str">
        <f t="shared" si="6"/>
        <v>PAN_M_s. Shiv Corporation</v>
      </c>
      <c r="D441" s="5" t="s">
        <v>522</v>
      </c>
      <c r="E441" s="5" t="s">
        <v>522</v>
      </c>
      <c r="F441" t="b">
        <v>1</v>
      </c>
      <c r="G441" s="5" t="s">
        <v>522</v>
      </c>
      <c r="H441" t="s">
        <v>523</v>
      </c>
      <c r="I441" t="b">
        <v>1</v>
      </c>
    </row>
    <row r="442" spans="1:9">
      <c r="A442" s="1" t="s">
        <v>350</v>
      </c>
      <c r="B442" t="s">
        <v>523</v>
      </c>
      <c r="C442" t="str">
        <f t="shared" si="6"/>
        <v>PAN_Jayanti N Katariya</v>
      </c>
      <c r="D442" s="5" t="s">
        <v>522</v>
      </c>
      <c r="E442" s="5" t="s">
        <v>522</v>
      </c>
      <c r="F442" t="b">
        <v>1</v>
      </c>
      <c r="G442" s="5" t="s">
        <v>522</v>
      </c>
      <c r="H442" t="s">
        <v>523</v>
      </c>
      <c r="I442" t="b">
        <v>1</v>
      </c>
    </row>
    <row r="443" spans="1:9">
      <c r="A443" s="1" t="s">
        <v>14</v>
      </c>
      <c r="B443" t="s">
        <v>523</v>
      </c>
      <c r="C443" t="str">
        <f t="shared" si="6"/>
        <v>PAN_Sureshbhai R Patel</v>
      </c>
      <c r="D443" s="5" t="s">
        <v>522</v>
      </c>
      <c r="E443" s="5" t="s">
        <v>522</v>
      </c>
      <c r="F443" t="b">
        <v>1</v>
      </c>
      <c r="G443" s="5" t="s">
        <v>522</v>
      </c>
      <c r="H443" t="s">
        <v>523</v>
      </c>
      <c r="I443" t="b">
        <v>1</v>
      </c>
    </row>
    <row r="444" spans="1:9">
      <c r="A444" s="1" t="s">
        <v>240</v>
      </c>
      <c r="B444" t="s">
        <v>523</v>
      </c>
      <c r="C444" t="str">
        <f t="shared" si="6"/>
        <v>PAN_Devang J Joshi</v>
      </c>
      <c r="D444" s="5" t="s">
        <v>522</v>
      </c>
      <c r="E444" s="5" t="s">
        <v>522</v>
      </c>
      <c r="F444" t="b">
        <v>1</v>
      </c>
      <c r="G444" s="5" t="s">
        <v>522</v>
      </c>
      <c r="H444" t="s">
        <v>523</v>
      </c>
      <c r="I444" t="b">
        <v>1</v>
      </c>
    </row>
    <row r="445" spans="1:9">
      <c r="A445" s="1" t="s">
        <v>325</v>
      </c>
      <c r="B445" t="s">
        <v>523</v>
      </c>
      <c r="C445" t="str">
        <f t="shared" si="6"/>
        <v>PAN_MH Xorbian Tech Pvt Ltd</v>
      </c>
      <c r="D445" s="5" t="s">
        <v>522</v>
      </c>
      <c r="E445" s="5" t="s">
        <v>522</v>
      </c>
      <c r="F445" t="b">
        <v>1</v>
      </c>
      <c r="G445" s="5" t="s">
        <v>522</v>
      </c>
      <c r="H445" t="s">
        <v>523</v>
      </c>
      <c r="I445" t="b">
        <v>1</v>
      </c>
    </row>
    <row r="446" spans="1:9">
      <c r="A446" s="1" t="s">
        <v>263</v>
      </c>
      <c r="B446" t="s">
        <v>523</v>
      </c>
      <c r="C446" t="str">
        <f t="shared" si="6"/>
        <v>PAN_Meenu Chandramohan Kumar</v>
      </c>
      <c r="D446" s="5" t="s">
        <v>522</v>
      </c>
      <c r="E446" s="5" t="s">
        <v>522</v>
      </c>
      <c r="F446" t="b">
        <v>1</v>
      </c>
      <c r="G446" s="5" t="s">
        <v>522</v>
      </c>
      <c r="H446" t="s">
        <v>523</v>
      </c>
      <c r="I446" t="b">
        <v>1</v>
      </c>
    </row>
    <row r="447" spans="1:9">
      <c r="A447" s="1" t="s">
        <v>317</v>
      </c>
      <c r="B447" t="s">
        <v>523</v>
      </c>
      <c r="C447" t="str">
        <f t="shared" si="6"/>
        <v>PAN_Yogendra M Thakore</v>
      </c>
      <c r="D447" s="5" t="s">
        <v>522</v>
      </c>
      <c r="E447" s="5" t="s">
        <v>522</v>
      </c>
      <c r="F447" t="b">
        <v>1</v>
      </c>
      <c r="G447" s="5" t="s">
        <v>522</v>
      </c>
      <c r="H447" t="s">
        <v>523</v>
      </c>
      <c r="I447" t="b">
        <v>1</v>
      </c>
    </row>
    <row r="448" spans="1:9">
      <c r="A448" s="1" t="s">
        <v>438</v>
      </c>
      <c r="B448" t="s">
        <v>523</v>
      </c>
      <c r="C448" t="str">
        <f t="shared" si="6"/>
        <v>PAN_Anuj Ashokkumar Modi</v>
      </c>
      <c r="D448" s="5" t="s">
        <v>522</v>
      </c>
      <c r="E448" s="5" t="s">
        <v>522</v>
      </c>
      <c r="F448" t="b">
        <v>1</v>
      </c>
      <c r="G448" s="5" t="s">
        <v>522</v>
      </c>
      <c r="H448" t="s">
        <v>523</v>
      </c>
      <c r="I448" t="b">
        <v>1</v>
      </c>
    </row>
    <row r="449" spans="1:9">
      <c r="A449" s="1" t="s">
        <v>393</v>
      </c>
      <c r="B449" t="s">
        <v>523</v>
      </c>
      <c r="C449" t="str">
        <f t="shared" si="6"/>
        <v>PAN_Jaykumar Rajnikant Sitapara</v>
      </c>
      <c r="D449" s="5" t="s">
        <v>522</v>
      </c>
      <c r="E449" s="5" t="s">
        <v>522</v>
      </c>
      <c r="F449" t="b">
        <v>1</v>
      </c>
      <c r="G449" s="5" t="s">
        <v>522</v>
      </c>
      <c r="H449" t="s">
        <v>523</v>
      </c>
      <c r="I449" t="b">
        <v>1</v>
      </c>
    </row>
    <row r="450" spans="1:9">
      <c r="A450" s="1" t="s">
        <v>335</v>
      </c>
      <c r="B450" t="s">
        <v>523</v>
      </c>
      <c r="C450" t="str">
        <f t="shared" ref="C450:C469" si="7">B450&amp;"_"&amp;A450</f>
        <v>PAN_Multidots Solutions Pvt Ltd</v>
      </c>
      <c r="D450" s="5" t="s">
        <v>522</v>
      </c>
      <c r="E450" s="5" t="s">
        <v>522</v>
      </c>
      <c r="F450" t="b">
        <v>1</v>
      </c>
      <c r="G450" s="5" t="s">
        <v>522</v>
      </c>
      <c r="H450" t="s">
        <v>523</v>
      </c>
      <c r="I450" t="b">
        <v>1</v>
      </c>
    </row>
    <row r="451" spans="1:9">
      <c r="A451" s="1" t="s">
        <v>115</v>
      </c>
      <c r="B451" t="s">
        <v>523</v>
      </c>
      <c r="C451" t="str">
        <f t="shared" si="7"/>
        <v>PAN_J.K. Plastopack P. Ltd</v>
      </c>
      <c r="D451" s="5" t="s">
        <v>522</v>
      </c>
      <c r="E451" s="5" t="s">
        <v>522</v>
      </c>
      <c r="F451" t="b">
        <v>1</v>
      </c>
      <c r="G451" s="5" t="s">
        <v>522</v>
      </c>
      <c r="H451" t="s">
        <v>523</v>
      </c>
      <c r="I451" t="b">
        <v>1</v>
      </c>
    </row>
    <row r="452" spans="1:9">
      <c r="A452" s="1" t="s">
        <v>22</v>
      </c>
      <c r="B452" t="s">
        <v>523</v>
      </c>
      <c r="C452" t="str">
        <f t="shared" si="7"/>
        <v>PAN_S.A. Sumara</v>
      </c>
      <c r="D452" s="5" t="s">
        <v>522</v>
      </c>
      <c r="E452" s="5" t="s">
        <v>522</v>
      </c>
      <c r="F452" t="b">
        <v>1</v>
      </c>
      <c r="G452" s="5" t="s">
        <v>522</v>
      </c>
      <c r="H452" t="s">
        <v>523</v>
      </c>
      <c r="I452" t="b">
        <v>1</v>
      </c>
    </row>
    <row r="453" spans="1:9">
      <c r="A453" s="1" t="s">
        <v>389</v>
      </c>
      <c r="B453" t="s">
        <v>523</v>
      </c>
      <c r="C453" t="str">
        <f t="shared" si="7"/>
        <v>PAN_Jagdish S Dholu</v>
      </c>
      <c r="D453" s="5" t="s">
        <v>522</v>
      </c>
      <c r="E453" s="5" t="s">
        <v>522</v>
      </c>
      <c r="F453" t="b">
        <v>1</v>
      </c>
      <c r="G453" s="5" t="s">
        <v>522</v>
      </c>
      <c r="H453" t="s">
        <v>523</v>
      </c>
      <c r="I453" t="b">
        <v>1</v>
      </c>
    </row>
    <row r="454" spans="1:9">
      <c r="A454" s="1" t="s">
        <v>213</v>
      </c>
      <c r="B454" t="s">
        <v>523</v>
      </c>
      <c r="C454" t="str">
        <f t="shared" si="7"/>
        <v>PAN_Keshavlal Sohanlal Jain</v>
      </c>
      <c r="D454" s="5" t="s">
        <v>522</v>
      </c>
      <c r="E454" s="5" t="s">
        <v>522</v>
      </c>
      <c r="F454" t="b">
        <v>1</v>
      </c>
      <c r="G454" s="5" t="s">
        <v>522</v>
      </c>
      <c r="H454" t="s">
        <v>523</v>
      </c>
      <c r="I454" t="b">
        <v>1</v>
      </c>
    </row>
    <row r="455" spans="1:9">
      <c r="A455" s="1" t="s">
        <v>123</v>
      </c>
      <c r="B455" t="s">
        <v>523</v>
      </c>
      <c r="C455" t="str">
        <f t="shared" si="7"/>
        <v>PAN_Mehsana Dist Co Op Milk Pro</v>
      </c>
      <c r="D455" s="5" t="s">
        <v>522</v>
      </c>
      <c r="E455" s="5" t="s">
        <v>522</v>
      </c>
      <c r="F455" t="b">
        <v>1</v>
      </c>
      <c r="G455" s="5" t="s">
        <v>522</v>
      </c>
      <c r="H455" t="s">
        <v>523</v>
      </c>
      <c r="I455" t="b">
        <v>1</v>
      </c>
    </row>
    <row r="456" spans="1:9">
      <c r="A456" s="1" t="s">
        <v>146</v>
      </c>
      <c r="B456" t="s">
        <v>523</v>
      </c>
      <c r="C456" t="str">
        <f t="shared" si="7"/>
        <v>PAN_The Grid</v>
      </c>
      <c r="D456" s="5" t="s">
        <v>522</v>
      </c>
      <c r="E456" s="5" t="s">
        <v>522</v>
      </c>
      <c r="F456" t="b">
        <v>1</v>
      </c>
      <c r="G456" s="5" t="s">
        <v>522</v>
      </c>
      <c r="H456" t="s">
        <v>523</v>
      </c>
      <c r="I456" t="b">
        <v>1</v>
      </c>
    </row>
    <row r="457" spans="1:9">
      <c r="A457" s="1" t="s">
        <v>131</v>
      </c>
      <c r="B457" t="s">
        <v>523</v>
      </c>
      <c r="C457" t="str">
        <f t="shared" si="7"/>
        <v xml:space="preserve">PAN_Dipak Chandulal Bhavsar </v>
      </c>
      <c r="D457" s="5" t="s">
        <v>522</v>
      </c>
      <c r="E457" s="5" t="s">
        <v>522</v>
      </c>
      <c r="F457" t="b">
        <v>1</v>
      </c>
      <c r="G457" s="5" t="s">
        <v>522</v>
      </c>
      <c r="H457" t="s">
        <v>523</v>
      </c>
      <c r="I457" t="b">
        <v>1</v>
      </c>
    </row>
    <row r="458" spans="1:9">
      <c r="A458" s="1" t="s">
        <v>235</v>
      </c>
      <c r="B458" t="s">
        <v>523</v>
      </c>
      <c r="C458" t="str">
        <f t="shared" si="7"/>
        <v>PAN_Ramdev Resins Pvt Ltd</v>
      </c>
      <c r="D458" s="5" t="s">
        <v>522</v>
      </c>
      <c r="E458" s="5" t="s">
        <v>522</v>
      </c>
      <c r="F458" t="b">
        <v>1</v>
      </c>
      <c r="G458" s="5" t="s">
        <v>522</v>
      </c>
      <c r="H458" t="s">
        <v>523</v>
      </c>
      <c r="I458" t="b">
        <v>1</v>
      </c>
    </row>
    <row r="459" spans="1:9">
      <c r="A459" s="1" t="s">
        <v>412</v>
      </c>
      <c r="B459" t="s">
        <v>523</v>
      </c>
      <c r="C459" t="str">
        <f t="shared" si="7"/>
        <v>PAN_Kumaresh K Trivedi</v>
      </c>
      <c r="D459" s="5" t="s">
        <v>522</v>
      </c>
      <c r="E459" s="5" t="s">
        <v>522</v>
      </c>
      <c r="F459" t="b">
        <v>1</v>
      </c>
      <c r="G459" s="5" t="s">
        <v>522</v>
      </c>
      <c r="H459" t="s">
        <v>523</v>
      </c>
      <c r="I459" t="b">
        <v>1</v>
      </c>
    </row>
    <row r="460" spans="1:9">
      <c r="A460" s="1" t="s">
        <v>387</v>
      </c>
      <c r="B460" t="s">
        <v>523</v>
      </c>
      <c r="C460" t="str">
        <f t="shared" si="7"/>
        <v>PAN_Meenaben Ganpatbhai Patel</v>
      </c>
      <c r="D460" s="5" t="s">
        <v>522</v>
      </c>
      <c r="E460" s="5" t="s">
        <v>522</v>
      </c>
      <c r="F460" t="b">
        <v>1</v>
      </c>
      <c r="G460" s="5" t="s">
        <v>522</v>
      </c>
      <c r="H460" t="s">
        <v>523</v>
      </c>
      <c r="I460" t="b">
        <v>1</v>
      </c>
    </row>
    <row r="461" spans="1:9">
      <c r="A461" s="1" t="s">
        <v>144</v>
      </c>
      <c r="B461" t="s">
        <v>523</v>
      </c>
      <c r="C461" t="str">
        <f t="shared" si="7"/>
        <v xml:space="preserve">PAN_Purvi Ashish Shah </v>
      </c>
      <c r="D461" s="5" t="s">
        <v>522</v>
      </c>
      <c r="E461" s="5" t="s">
        <v>522</v>
      </c>
      <c r="F461" t="b">
        <v>1</v>
      </c>
      <c r="G461" s="5" t="s">
        <v>522</v>
      </c>
      <c r="H461" t="s">
        <v>523</v>
      </c>
      <c r="I461" t="b">
        <v>1</v>
      </c>
    </row>
    <row r="462" spans="1:9">
      <c r="A462" s="1" t="s">
        <v>154</v>
      </c>
      <c r="B462" t="s">
        <v>523</v>
      </c>
      <c r="C462" t="str">
        <f t="shared" si="7"/>
        <v>PAN_Jyotiba Bhavansinh Parmar</v>
      </c>
      <c r="D462" s="5" t="s">
        <v>522</v>
      </c>
      <c r="E462" s="5" t="s">
        <v>522</v>
      </c>
      <c r="F462" t="b">
        <v>1</v>
      </c>
      <c r="G462" s="5" t="s">
        <v>522</v>
      </c>
      <c r="H462" t="s">
        <v>523</v>
      </c>
      <c r="I462" t="b">
        <v>1</v>
      </c>
    </row>
    <row r="463" spans="1:9">
      <c r="A463" s="1" t="s">
        <v>3</v>
      </c>
      <c r="B463" t="s">
        <v>523</v>
      </c>
      <c r="C463" t="str">
        <f t="shared" si="7"/>
        <v>PAN_MAP Refoils India Ltd</v>
      </c>
      <c r="D463" s="5" t="s">
        <v>522</v>
      </c>
      <c r="E463" s="5" t="s">
        <v>522</v>
      </c>
      <c r="F463" t="b">
        <v>1</v>
      </c>
      <c r="G463" s="5" t="s">
        <v>522</v>
      </c>
      <c r="H463" t="s">
        <v>523</v>
      </c>
      <c r="I463" t="b">
        <v>1</v>
      </c>
    </row>
    <row r="464" spans="1:9">
      <c r="A464" s="1" t="s">
        <v>408</v>
      </c>
      <c r="B464" t="s">
        <v>523</v>
      </c>
      <c r="C464" t="str">
        <f t="shared" si="7"/>
        <v>PAN_Ranjanben M. Parmar</v>
      </c>
      <c r="D464" s="5" t="s">
        <v>522</v>
      </c>
      <c r="E464" s="5" t="s">
        <v>522</v>
      </c>
      <c r="F464" t="b">
        <v>1</v>
      </c>
      <c r="G464" s="5" t="s">
        <v>522</v>
      </c>
      <c r="H464" t="s">
        <v>523</v>
      </c>
      <c r="I464" t="b">
        <v>1</v>
      </c>
    </row>
    <row r="465" spans="1:9">
      <c r="A465" s="1" t="s">
        <v>129</v>
      </c>
      <c r="B465" t="s">
        <v>523</v>
      </c>
      <c r="C465" t="str">
        <f t="shared" si="7"/>
        <v>PAN_Nirmalaben Balkrushna Thakkar</v>
      </c>
      <c r="D465" s="5" t="s">
        <v>522</v>
      </c>
      <c r="E465" s="5" t="s">
        <v>522</v>
      </c>
      <c r="F465" t="b">
        <v>1</v>
      </c>
      <c r="G465" s="5" t="s">
        <v>522</v>
      </c>
      <c r="H465" t="s">
        <v>523</v>
      </c>
      <c r="I465" t="b">
        <v>1</v>
      </c>
    </row>
    <row r="466" spans="1:9">
      <c r="A466" s="1" t="s">
        <v>452</v>
      </c>
      <c r="B466" t="s">
        <v>523</v>
      </c>
      <c r="C466" t="str">
        <f t="shared" si="7"/>
        <v>PAN_Patel Vipul Parshottambhai</v>
      </c>
      <c r="D466" s="5" t="s">
        <v>522</v>
      </c>
      <c r="E466" s="5" t="s">
        <v>522</v>
      </c>
      <c r="F466" t="b">
        <v>1</v>
      </c>
      <c r="G466" s="5" t="s">
        <v>522</v>
      </c>
      <c r="H466" t="s">
        <v>523</v>
      </c>
      <c r="I466" t="b">
        <v>1</v>
      </c>
    </row>
    <row r="467" spans="1:9">
      <c r="A467" s="1" t="s">
        <v>303</v>
      </c>
      <c r="B467" t="s">
        <v>523</v>
      </c>
      <c r="C467" t="str">
        <f t="shared" si="7"/>
        <v xml:space="preserve">PAN_Hiren M Patel </v>
      </c>
      <c r="D467" s="5" t="s">
        <v>522</v>
      </c>
      <c r="E467" s="5" t="s">
        <v>522</v>
      </c>
      <c r="F467" t="b">
        <v>1</v>
      </c>
      <c r="G467" s="5" t="s">
        <v>522</v>
      </c>
      <c r="H467" t="s">
        <v>523</v>
      </c>
      <c r="I467" t="b">
        <v>1</v>
      </c>
    </row>
    <row r="468" spans="1:9">
      <c r="A468" s="1" t="s">
        <v>313</v>
      </c>
      <c r="B468" t="s">
        <v>523</v>
      </c>
      <c r="C468" t="str">
        <f t="shared" si="7"/>
        <v>PAN_Vinodbhai</v>
      </c>
      <c r="D468" s="5" t="s">
        <v>522</v>
      </c>
      <c r="E468" s="5" t="s">
        <v>522</v>
      </c>
      <c r="F468" t="b">
        <v>1</v>
      </c>
      <c r="G468" s="5" t="s">
        <v>522</v>
      </c>
      <c r="H468" t="s">
        <v>523</v>
      </c>
      <c r="I468" t="b">
        <v>1</v>
      </c>
    </row>
    <row r="469" spans="1:9">
      <c r="A469" s="1" t="s">
        <v>205</v>
      </c>
      <c r="B469" t="s">
        <v>523</v>
      </c>
      <c r="C469" t="str">
        <f t="shared" si="7"/>
        <v>PAN_Arovea Technologies</v>
      </c>
      <c r="D469" s="5" t="s">
        <v>522</v>
      </c>
      <c r="E469" s="5" t="s">
        <v>522</v>
      </c>
      <c r="F469" t="b">
        <v>1</v>
      </c>
      <c r="G469" s="5" t="s">
        <v>522</v>
      </c>
      <c r="H469" t="s">
        <v>523</v>
      </c>
      <c r="I46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AllSheet</vt:lpstr>
      <vt:lpstr>02_UnitOccupierGroup</vt:lpstr>
      <vt:lpstr>05_UnitOccupierInfo</vt:lpstr>
      <vt:lpstr>06_UnitOccupierInternalDetail</vt:lpstr>
      <vt:lpstr>07_UnitOccupierOperationDetail</vt:lpstr>
      <vt:lpstr>08_UnitOccupierStatutoryDetail</vt:lpstr>
      <vt:lpstr>09_UnitOccupierAddressInfo</vt:lpstr>
      <vt:lpstr>10_UnitOccupierContactInfo</vt:lpstr>
      <vt:lpstr>11_UnitOccupierKYBInfo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ritesh.n.mangi</dc:creator>
  <cp:lastModifiedBy>prince.b.kalsariya</cp:lastModifiedBy>
  <dcterms:created xsi:type="dcterms:W3CDTF">2025-03-26T09:42:26Z</dcterms:created>
  <dcterms:modified xsi:type="dcterms:W3CDTF">2025-11-27T12:22:18Z</dcterms:modified>
</cp:coreProperties>
</file>